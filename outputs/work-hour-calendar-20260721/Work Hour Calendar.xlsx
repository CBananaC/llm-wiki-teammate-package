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6c6d30807842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e2d7092476c41e8"/>
    <x:sheet xmlns:r="http://schemas.openxmlformats.org/officeDocument/2006/relationships" name="June 2026" sheetId="2" r:id="R0469d0f5fb8246ff"/>
    <x:sheet xmlns:r="http://schemas.openxmlformats.org/officeDocument/2006/relationships" name="July 2026" sheetId="3" r:id="R8f4166f1110c4342"/>
    <x:sheet xmlns:r="http://schemas.openxmlformats.org/officeDocument/2006/relationships" name="August 2026" sheetId="4" r:id="Rb0ab6cc2e7ee47b6"/>
    <x:sheet xmlns:r="http://schemas.openxmlformats.org/officeDocument/2006/relationships" name="How to use" sheetId="5" r:id="R488bc13826634250"/>
  </x:sheets>
</x:workbook>
</file>

<file path=xl/sharedStrings.xml><?xml version="1.0" encoding="utf-8"?>
<x:sst xmlns:x="http://schemas.openxmlformats.org/spreadsheetml/2006/main">
  <x:si>
    <x:t xml:space="preserve">Part-time Work Schedule Summary (Jun–Aug 2026)</x:t>
  </x:si>
  <x:si>
    <x:t xml:space="preserve">Rule</x:t>
  </x:si>
  <x:si>
    <x:t xml:space="preserve">Work shift is 9:00 AM–5:00 PM, counted as 8 hours per tick. Weekly maximum is 17 hours per person.</x:t>
  </x:si>
  <x:si>
    <x:t xml:space="preserve">Month</x:t>
  </x:si>
  <x:si>
    <x:t xml:space="preserve">Week starting</x:t>
  </x:si>
  <x:si>
    <x:t xml:space="preserve">June 2026</x:t>
  </x:si>
  <x:si>
    <x:t xml:space="preserve">July 2026</x:t>
  </x:si>
  <x:si>
    <x:t xml:space="preserve">August 2026</x:t>
  </x:si>
  <x:si>
    <x:t xml:space="preserve">June 2026 Work Calendar</x:t>
  </x:si>
  <x:si>
    <x:t xml:space="preserve">Tick ☑ for the people working that day. Each tick = 8 hours (9:00 AM–5:00 PM). Weekly max: 17 hours per person.</x:t>
  </x:si>
  <x:si>
    <x:t xml:space="preserve">Mon</x:t>
  </x:si>
  <x:si>
    <x:t xml:space="preserve">Tue</x:t>
  </x:si>
  <x:si>
    <x:t xml:space="preserve">Wed</x:t>
  </x:si>
  <x:si>
    <x:t xml:space="preserve">Thu</x:t>
  </x:si>
  <x:si>
    <x:t xml:space="preserve">Fri</x:t>
  </x:si>
  <x:si>
    <x:t xml:space="preserve">Kelvin</x:t>
  </x:si>
  <x:si>
    <x:t xml:space="preserve">Shirley</x:t>
  </x:si>
  <x:si>
    <x:t xml:space="preserve">Yarin</x:t>
  </x:si>
  <x:si>
    <x:t xml:space="preserve">Kelvin: ☐</x:t>
  </x:si>
  <x:si>
    <x:t xml:space="preserve">Kelvin: X</x:t>
  </x:si>
  <x:si>
    <x:t xml:space="preserve">Shirley: ☐</x:t>
  </x:si>
  <x:si>
    <x:t xml:space="preserve">Shirley: X</x:t>
  </x:si>
  <x:si>
    <x:t xml:space="preserve">Yarin: ☐</x:t>
  </x:si>
  <x:si>
    <x:t xml:space="preserve">Yarin: X</x:t>
  </x:si>
  <x:si>
    <x:t xml:space="preserve">July 2026 Work Calendar</x:t>
  </x:si>
  <x:si>
    <x:t xml:space="preserve">Kelvin: ☑</x:t>
  </x:si>
  <x:si>
    <x:t xml:space="preserve">Shirley: ☑</x:t>
  </x:si>
  <x:si>
    <x:t xml:space="preserve">Yarin: ☑</x:t>
  </x:si>
  <x:si>
    <x:t xml:space="preserve">August 2026 Work Calendar</x:t>
  </x:si>
  <x:si>
    <x:t xml:space="preserve">How to use this workbook</x:t>
  </x:si>
  <x:si>
    <x:t xml:space="preserve">Step</x:t>
  </x:si>
  <x:si>
    <x:t xml:space="preserve">Instruction</x:t>
  </x:si>
  <x:si>
    <x:t xml:space="preserve">Each ☑ adds 8 hours because the shift is 9:00 AM–5:00 PM.</x:t>
  </x:si>
  <x:si>
    <x:t xml:space="preserve">The weekly summary on the right counts each person’s hours for that week.</x:t>
  </x:si>
  <x:si>
    <x:t xml:space="preserve">The Summary sheet combines all weekly totals and flags any person over 17 hours.</x:t>
  </x:si>
</x:sst>
</file>

<file path=xl/styles.xml><?xml version="1.0" encoding="utf-8"?>
<x:styleSheet xmlns:x="http://schemas.openxmlformats.org/spreadsheetml/2006/main">
  <x:numFmts count="2">
    <x:numFmt numFmtId="164" formatCode="d\ mmm"/>
    <x:numFmt numFmtId="165" formatCode="0\ &quot;hrs&quot;"/>
  </x:numFmts>
  <x:fonts count="10">
    <x:font>
      <x:sz val="11"/>
      <x:color rgb="FF000000"/>
      <x:name val="Carlito"/>
    </x:font>
    <x:font>
      <x:b/>
      <x:sz val="16"/>
      <x:color rgb="FFFFFFFF"/>
      <x:name val="Carlito"/>
    </x:font>
    <x:font/>
    <x:font>
      <x:b/>
      <x:sz val="11"/>
      <x:color theme="1"/>
      <x:name val="Carlito"/>
    </x:font>
    <x:font>
      <x:sz val="11"/>
      <x:color theme="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  <x:font>
      <x:sz val="11"/>
      <x:color rgb="FFFFFFFF"/>
      <x:name val="Carlito"/>
    </x:font>
    <x:font>
      <x:color rgb="FF000000"/>
    </x:font>
  </x:fonts>
  <x:fills count="15">
    <x:fill>
      <x:patternFill patternType="none"/>
    </x:fill>
    <x:fill>
      <x:patternFill patternType="lightGray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F3F8FC"/>
      </x:patternFill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F4E79"/>
      </x:patternFill>
    </x:fill>
    <x:fill>
      <x:patternFill patternType="solid">
        <x:fgColor rgb="FFFFFFFF"/>
      </x:patternFill>
    </x:fill>
    <x:fill>
      <x:patternFill patternType="solid">
        <x:fgColor rgb="FFD9EAF7"/>
      </x:patternFill>
    </x:fill>
    <x:fill>
      <x:patternFill patternType="solid">
        <x:fgColor rgb="FFF3F8FC"/>
      </x:patternFill>
    </x:fill>
    <x:fill>
      <x:patternFill patternType="solid">
        <x:fgColor rgb="FFF2F2F2"/>
      </x:patternFill>
    </x:fill>
    <x:fill>
      <x:patternFill patternType="solid">
        <x:fgColor rgb="FFFF0000"/>
      </x:patternFill>
    </x:fill>
  </x:fills>
  <x:borders count="8">
    <x:border/>
    <x:border/>
    <x:border/>
    <x:border/>
    <x:border/>
    <x:border/>
    <x:border/>
    <x:border/>
  </x:borders>
  <x:cellStyleXfs count="1">
    <x:xf numFmtId="0" fontId="0" fillId="0" borderId="0" applyFont="1" applyAlignment="1"/>
  </x:cellStyleXfs>
  <x:cellXfs count="75">
    <x:xf numFmtId="0" fontId="0" fillId="0" borderId="0" xfId="0" applyFont="1" applyAlignment="1">
      <x:alignment vertical="bottom" wrapText="0"/>
    </x:xf>
    <x:xf numFmtId="0" fontId="1" fillId="2" borderId="1" xfId="0" applyFont="1" applyFill="1" applyBorder="1" applyAlignment="1">
      <x:alignment horizontal="center" vertical="center" wrapText="1"/>
    </x:xf>
    <x:xf numFmtId="0" fontId="2" fillId="0" borderId="2" xfId="0" applyFont="1" applyBorder="1"/>
    <x:xf numFmtId="0" fontId="2" fillId="0" borderId="3" xfId="0" applyFont="1" applyBorder="1"/>
    <x:xf numFmtId="0" fontId="3" fillId="3" borderId="4" xfId="0" applyFont="1" applyFill="1" applyBorder="1" applyAlignment="1">
      <x:alignment horizontal="left" vertical="center" wrapText="1"/>
    </x:xf>
    <x:xf numFmtId="0" fontId="4" fillId="4" borderId="4" xfId="0" applyFont="1" applyFill="1" applyBorder="1" applyAlignment="1">
      <x:alignment horizontal="left" vertical="center" wrapText="1"/>
    </x:xf>
    <x:xf numFmtId="0" fontId="5" fillId="2" borderId="4" xfId="0" applyFont="1" applyBorder="1" applyAlignment="1">
      <x:alignment horizontal="center" vertical="center" wrapText="1"/>
    </x:xf>
    <x:xf numFmtId="0" fontId="4" fillId="5" borderId="4" xfId="0" applyFont="1" applyFill="1" applyBorder="1" applyAlignment="1">
      <x:alignment horizontal="center" vertical="center" wrapText="1"/>
    </x:xf>
    <x:xf numFmtId="164" fontId="4" fillId="5" borderId="4" xfId="0" applyNumberFormat="1" applyFont="1" applyBorder="1" applyAlignment="1">
      <x:alignment horizontal="center" vertical="center" wrapText="1"/>
    </x:xf>
    <x:xf numFmtId="165" fontId="4" fillId="5" borderId="4" xfId="0" applyNumberFormat="1" applyFont="1" applyBorder="1" applyAlignment="1">
      <x:alignment horizontal="center" vertical="center" wrapText="1"/>
    </x:xf>
    <x:xf numFmtId="0" fontId="4" fillId="4" borderId="1" xfId="0" applyFont="1" applyBorder="1" applyAlignment="1">
      <x:alignment horizontal="left" vertical="center" wrapText="1"/>
    </x:xf>
    <x:xf numFmtId="164" fontId="3" fillId="3" borderId="4" xfId="0" applyNumberFormat="1" applyFont="1" applyBorder="1" applyAlignment="1">
      <x:alignment horizontal="center" vertical="center" wrapText="1"/>
    </x:xf>
    <x:xf numFmtId="0" fontId="4" fillId="5" borderId="4" xfId="0" applyFont="1" applyBorder="1" applyAlignment="1">
      <x:alignment horizontal="left" vertical="center" wrapText="1"/>
    </x:xf>
    <x:xf numFmtId="0" fontId="4" fillId="5" borderId="4" xfId="0" applyFont="1" applyBorder="1" applyAlignment="1">
      <x:alignment horizontal="left" vertical="center" wrapText="1"/>
    </x:xf>
    <x:xf numFmtId="165" fontId="3" fillId="4" borderId="4" xfId="0" applyNumberFormat="1" applyFont="1" applyBorder="1" applyAlignment="1">
      <x:alignment horizontal="center" vertical="center" wrapText="1"/>
    </x:xf>
    <x:xf numFmtId="0" fontId="4" fillId="0" borderId="0" xfId="0" applyFont="1" applyAlignment="1">
      <x:alignment wrapText="1"/>
    </x:xf>
    <x:xf numFmtId="164" fontId="3" fillId="6" borderId="4" xfId="0" applyNumberFormat="1" applyFont="1" applyFill="1" applyBorder="1" applyAlignment="1">
      <x:alignment horizontal="center" vertical="center" wrapText="1"/>
    </x:xf>
    <x:xf numFmtId="0" fontId="4" fillId="7" borderId="4" xfId="0" applyFont="1" applyFill="1" applyBorder="1" applyAlignment="1">
      <x:alignment horizontal="center" vertical="center" wrapText="1"/>
    </x:xf>
    <x:xf numFmtId="164" fontId="4" fillId="6" borderId="5" xfId="0" applyNumberFormat="1" applyFont="1" applyBorder="1" applyAlignment="1">
      <x:alignment horizontal="center" vertical="center" wrapText="1"/>
    </x:xf>
    <x:xf numFmtId="0" fontId="2" fillId="0" borderId="6" xfId="0" applyFont="1" applyBorder="1"/>
    <x:xf numFmtId="0" fontId="2" fillId="0" borderId="7" xfId="0" applyFont="1" applyBorder="1"/>
    <x:xf numFmtId="0" fontId="0" fillId="8" borderId="0" xfId="0" applyNumberFormat="1" applyFont="1" applyFill="1" applyBorder="1" applyAlignment="1">
      <x:alignment vertical="bottom" wrapText="0"/>
    </x:xf>
    <x:xf numFmtId="0" fontId="6" fillId="8" borderId="0" xfId="0" applyNumberFormat="1" applyFont="1" applyFill="1" applyBorder="1" applyAlignment="1">
      <x:alignment vertical="bottom" wrapText="0"/>
    </x:xf>
    <x:xf numFmtId="0" fontId="6" fillId="8" borderId="0" xfId="0" applyNumberFormat="1" applyFont="1" applyFill="1" applyBorder="1" applyAlignment="1">
      <x:alignment vertical="bottom" wrapText="1"/>
    </x:xf>
    <x:xf numFmtId="0" fontId="6" fillId="8" borderId="0" xfId="0" applyNumberFormat="1" applyFont="1" applyFill="1" applyBorder="1" applyAlignment="1">
      <x:alignment horizontal="left" vertical="bottom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 applyAlignment="1">
      <x:alignment vertical="bottom" wrapText="0"/>
    </x:xf>
    <x:xf numFmtId="0" fontId="5" fillId="9" borderId="0" xfId="0" applyNumberFormat="1" applyFont="1" applyFill="1" applyBorder="1" applyAlignment="1">
      <x:alignment vertical="bottom" wrapText="0"/>
    </x:xf>
    <x:xf numFmtId="0" fontId="5" fillId="9" borderId="0" xfId="0" applyNumberFormat="1" applyFont="1" applyFill="1" applyBorder="1" applyAlignment="1">
      <x:alignment horizontal="center" vertical="bottom" wrapText="0"/>
    </x:xf>
    <x:xf numFmtId="0" fontId="5" fillId="9" borderId="0" xfId="0" applyNumberFormat="1" applyFont="1" applyFill="1" applyBorder="1" applyAlignment="1">
      <x:alignment horizontal="center" vertical="center" wrapText="0"/>
    </x:xf>
    <x:xf numFmtId="0" fontId="5" fillId="9" borderId="0" xfId="0" applyNumberFormat="1" applyFont="1" applyFill="1" applyBorder="1" applyAlignment="1">
      <x:alignment horizontal="center" vertical="center" wrapText="1"/>
    </x:xf>
    <x:xf numFmtId="0" fontId="4" fillId="10" borderId="4" xfId="0" applyNumberFormat="1" applyFont="1" applyFill="1" applyBorder="1" applyAlignment="1">
      <x:alignment horizontal="center" vertical="center" wrapText="1"/>
    </x:xf>
    <x:xf numFmtId="0" fontId="7" fillId="10" borderId="4" xfId="0" applyNumberFormat="1" applyFont="1" applyFill="1" applyBorder="1" applyAlignment="1">
      <x:alignment horizontal="center" vertical="center" wrapText="1"/>
    </x:xf>
    <x:xf numFmtId="165" fontId="7" fillId="10" borderId="4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bottom" wrapText="0"/>
    </x:xf>
    <x:xf numFmtId="0" fontId="7" fillId="10" borderId="0" xfId="0" applyNumberFormat="1" applyFont="1" applyFill="1" applyBorder="1" applyAlignment="1">
      <x:alignment vertical="bottom" wrapText="0"/>
    </x:xf>
    <x:xf numFmtId="0" fontId="7" fillId="10" borderId="0" xfId="0" applyNumberFormat="1" applyFont="1" applyFill="1" applyBorder="1" applyAlignment="1">
      <x:alignment horizontal="left" vertical="bottom" wrapText="0"/>
    </x:xf>
    <x:xf numFmtId="0" fontId="7" fillId="10" borderId="0" xfId="0" applyNumberFormat="1" applyFont="1" applyFill="1" applyBorder="1" applyAlignment="1">
      <x:alignment horizontal="left" vertical="center" wrapText="0"/>
    </x:xf>
    <x:xf numFmtId="0" fontId="7" fillId="10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vertical="bottom" wrapText="0"/>
    </x:xf>
    <x:xf numFmtId="164" fontId="3" fillId="3" borderId="4" xfId="0" applyNumberFormat="1" applyFont="1" applyFill="1" applyBorder="1" applyAlignment="1">
      <x:alignment horizontal="center" vertical="center" wrapText="1"/>
    </x:xf>
    <x:xf numFmtId="164" fontId="3" fillId="11" borderId="4" xfId="0" applyNumberFormat="1" applyFont="1" applyFill="1" applyBorder="1" applyAlignment="1">
      <x:alignment horizontal="center" vertical="center" wrapText="1"/>
    </x:xf>
    <x:xf numFmtId="164" fontId="6" fillId="11" borderId="4" xfId="0" applyNumberFormat="1" applyFont="1" applyFill="1" applyBorder="1" applyAlignment="1">
      <x:alignment horizontal="center" vertical="center" wrapText="1"/>
    </x:xf>
    <x:xf numFmtId="165" fontId="3" fillId="10" borderId="4" xfId="0" applyNumberFormat="1" applyFont="1" applyFill="1" applyBorder="1" applyAlignment="1">
      <x:alignment horizontal="center" vertical="center" wrapText="1"/>
    </x:xf>
    <x:xf numFmtId="165" fontId="7" fillId="10" borderId="4" xfId="0" applyNumberFormat="1" applyFont="1" applyFill="1" applyBorder="1" applyAlignment="1">
      <x:alignment horizontal="left" vertical="center" wrapText="1"/>
    </x:xf>
    <x:xf numFmtId="0" fontId="0" fillId="12" borderId="0" xfId="0" applyNumberFormat="1" applyFont="1" applyFill="1" applyBorder="1" applyAlignment="1">
      <x:alignment vertical="bottom" wrapText="0"/>
    </x:xf>
    <x:xf numFmtId="0" fontId="6" fillId="12" borderId="0" xfId="0" applyNumberFormat="1" applyFont="1" applyFill="1" applyBorder="1" applyAlignment="1">
      <x:alignment vertical="bottom" wrapText="0"/>
    </x:xf>
    <x:xf numFmtId="0" fontId="6" fillId="12" borderId="0" xfId="0" applyNumberFormat="1" applyFont="1" applyFill="1" applyBorder="1" applyAlignment="1">
      <x:alignment horizontal="center" vertical="bottom" wrapText="0"/>
    </x:xf>
    <x:xf numFmtId="0" fontId="6" fillId="12" borderId="0" xfId="0" applyNumberFormat="1" applyFont="1" applyFill="1" applyBorder="1" applyAlignment="1">
      <x:alignment horizontal="center" vertical="center" wrapText="0"/>
    </x:xf>
    <x:xf numFmtId="0" fontId="6" fillId="12" borderId="0" xfId="0" applyNumberFormat="1" applyFont="1" applyFill="1" applyBorder="1" applyAlignment="1">
      <x:alignment horizontal="center" vertical="center" wrapText="1"/>
    </x:xf>
    <x:xf numFmtId="165" fontId="6" fillId="12" borderId="0" xfId="0" applyNumberFormat="1" applyFont="1" applyFill="1" applyBorder="1" applyAlignment="1">
      <x:alignment horizontal="center" vertical="center" wrapText="1"/>
    </x:xf>
    <x:xf numFmtId="0" fontId="4" fillId="10" borderId="4" xfId="0" applyNumberFormat="1" applyFont="1" applyFill="1" applyBorder="1" applyAlignment="1">
      <x:alignment horizontal="left" vertical="center" wrapText="1"/>
    </x:xf>
    <x:xf numFmtId="0" fontId="7" fillId="10" borderId="4" xfId="0" applyNumberFormat="1" applyFont="1" applyFill="1" applyBorder="1" applyAlignment="1">
      <x:alignment horizontal="left" vertical="center" wrapText="1"/>
    </x:xf>
    <x:xf numFmtId="164" fontId="0" fillId="0" borderId="0" xfId="0" applyNumberFormat="1" applyFont="1" applyFill="1" applyBorder="1" applyAlignment="1">
      <x:alignment vertical="bottom" wrapText="0"/>
    </x:xf>
    <x:xf numFmtId="164" fontId="0" fillId="11" borderId="0" xfId="0" applyNumberFormat="1" applyFont="1" applyFill="1" applyBorder="1" applyAlignment="1">
      <x:alignment vertical="bottom" wrapText="0"/>
    </x:xf>
    <x:xf numFmtId="164" fontId="6" fillId="11" borderId="0" xfId="0" applyNumberFormat="1" applyFont="1" applyFill="1" applyBorder="1" applyAlignment="1">
      <x:alignment vertical="bottom" wrapText="0"/>
    </x:xf>
    <x:xf numFmtId="164" fontId="6" fillId="11" borderId="0" xfId="0" applyNumberFormat="1" applyFont="1" applyFill="1" applyBorder="1" applyAlignment="1">
      <x:alignment horizontal="center" vertical="bottom" wrapText="0"/>
    </x:xf>
    <x:xf numFmtId="164" fontId="6" fillId="11" borderId="0" xfId="0" applyNumberFormat="1" applyFont="1" applyFill="1" applyBorder="1" applyAlignment="1">
      <x:alignment horizontal="center" vertical="center" wrapText="0"/>
    </x:xf>
    <x:xf numFmtId="164" fontId="6" fillId="11" borderId="0" xfId="0" applyNumberFormat="1" applyFont="1" applyFill="1" applyBorder="1" applyAlignment="1">
      <x:alignment horizontal="center" vertical="center" wrapText="1"/>
    </x:xf>
    <x:xf numFmtId="0" fontId="4" fillId="13" borderId="4" xfId="0" applyNumberFormat="1" applyFont="1" applyFill="1" applyBorder="1" applyAlignment="1">
      <x:alignment horizontal="center" vertical="center" wrapText="1"/>
    </x:xf>
    <x:xf numFmtId="164" fontId="4" fillId="14" borderId="5" xfId="0" applyNumberFormat="1" applyFont="1" applyFill="1" applyBorder="1" applyAlignment="1">
      <x:alignment horizontal="center" vertical="center" wrapText="1"/>
    </x:xf>
    <x:xf numFmtId="0" fontId="2" fillId="14" borderId="6" xfId="0" applyNumberFormat="1" applyFont="1" applyFill="1" applyBorder="1"/>
    <x:xf numFmtId="0" fontId="2" fillId="14" borderId="7" xfId="0" applyNumberFormat="1" applyFont="1" applyFill="1" applyBorder="1"/>
    <x:xf numFmtId="164" fontId="7" fillId="14" borderId="5" xfId="0" applyNumberFormat="1" applyFont="1" applyFill="1" applyBorder="1" applyAlignment="1">
      <x:alignment horizontal="center" vertical="center" wrapText="1"/>
    </x:xf>
    <x:xf numFmtId="0" fontId="9" fillId="14" borderId="6" xfId="0" applyNumberFormat="1" applyFont="1" applyFill="1" applyBorder="1"/>
    <x:xf numFmtId="0" fontId="9" fillId="14" borderId="7" xfId="0" applyNumberFormat="1" applyFont="1" applyFill="1" applyBorder="1"/>
    <x:xf numFmtId="0" fontId="9" fillId="14" borderId="6" xfId="0" applyNumberFormat="1" applyFont="1" applyFill="1" applyBorder="1" applyAlignment="1">
      <x:alignment horizontal="center"/>
    </x:xf>
    <x:xf numFmtId="0" fontId="9" fillId="14" borderId="7" xfId="0" applyNumberFormat="1" applyFont="1" applyFill="1" applyBorder="1" applyAlignment="1">
      <x:alignment horizontal="center"/>
    </x:xf>
    <x:xf numFmtId="0" fontId="9" fillId="14" borderId="6" xfId="0" applyNumberFormat="1" applyFont="1" applyFill="1" applyBorder="1" applyAlignment="1">
      <x:alignment horizontal="center" vertical="center"/>
    </x:xf>
    <x:xf numFmtId="0" fontId="9" fillId="14" borderId="7" xfId="0" applyNumberFormat="1" applyFont="1" applyFill="1" applyBorder="1" applyAlignment="1">
      <x:alignment horizontal="center" vertical="center"/>
    </x:xf>
    <x:xf numFmtId="0" fontId="9" fillId="14" borderId="6" xfId="0" applyNumberFormat="1" applyFont="1" applyFill="1" applyBorder="1" applyAlignment="1">
      <x:alignment horizontal="center" vertical="center" wrapText="1"/>
    </x:xf>
    <x:xf numFmtId="0" fontId="9" fillId="14" borderId="7" xfId="0" applyNumberFormat="1" applyFont="1" applyFill="1" applyBorder="1" applyAlignment="1">
      <x:alignment horizontal="center" vertical="center" wrapText="1"/>
    </x:xf>
    <x:xf numFmtId="164" fontId="9" fillId="14" borderId="6" xfId="0" applyNumberFormat="1" applyFont="1" applyFill="1" applyBorder="1" applyAlignment="1">
      <x:alignment horizontal="center" vertical="center" wrapText="1"/>
    </x:xf>
    <x:xf numFmtId="164" fontId="9" fillId="14" borderId="7" xfId="0" applyNumberFormat="1" applyFont="1" applyFill="1" applyBorder="1" applyAlignment="1">
      <x:alignment horizontal="center" vertical="center" wrapText="1"/>
    </x:xf>
    <x:xf numFmtId="165" fontId="3" fillId="13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ont>
        <x:b/>
        <x:color rgb="FF9C0006"/>
      </x:font>
      <x:fill>
        <x:patternFill>
          <x:bgColor rgb="FFFCE4D6"/>
        </x:patternFill>
      </x:fill>
      <x:border/>
    </x:dxf>
    <x:dxf>
      <x:fill>
        <x:patternFill>
          <x:bgColor rgb="FFE2F0D9"/>
        </x:patternFill>
      </x:fill>
      <x:border/>
    </x:dxf>
    <x:dxf>
      <x:fill>
        <x:patternFill patternType="solid">
          <x:bgColor rgb="FFF8CBAD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F8CBAD"/>
        </x:patternFill>
      </x:fill>
    </x:dxf>
    <x:dxf>
      <x:fill>
        <x:patternFill patternType="solid">
          <x:bgColor rgb="FFF8CBA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e1a2a999644a08" /><Relationship Type="http://schemas.openxmlformats.org/officeDocument/2006/relationships/theme" Target="/xl/theme/theme1.xml" Id="R62753c82cc8b472a" /><Relationship Type="http://schemas.openxmlformats.org/officeDocument/2006/relationships/sharedStrings" Target="/xl/sharedStrings.xml" Id="R357900deaf10405c" /><Relationship Type="http://schemas.openxmlformats.org/officeDocument/2006/relationships/worksheet" Target="/xl/worksheets/sheet1.xml" Id="R4e2d7092476c41e8" /><Relationship Type="http://schemas.openxmlformats.org/officeDocument/2006/relationships/worksheet" Target="/xl/worksheets/sheet2.xml" Id="R0469d0f5fb8246ff" /><Relationship Type="http://schemas.openxmlformats.org/officeDocument/2006/relationships/worksheet" Target="/xl/worksheets/sheet3.xml" Id="R8f4166f1110c4342" /><Relationship Type="http://schemas.openxmlformats.org/officeDocument/2006/relationships/worksheet" Target="/xl/worksheets/sheet4.xml" Id="Rb0ab6cc2e7ee47b6" /><Relationship Type="http://schemas.openxmlformats.org/officeDocument/2006/relationships/worksheet" Target="/xl/worksheets/sheet5.xml" Id="R488bc13826634250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5" width="16" customWidth="1"/>
    <x:col min="6" max="6" width="16" hidden="0" customWidth="1"/>
    <x:col min="7" max="26" width="8.880000114440918" customWidth="1"/>
    <x:col min="7" max="7" width="28" hidden="0" customWidth="1"/>
  </x:cols>
  <x:sheetData>
    <x:row r="1" ht="13.5" customHeight="1">
      <x:c r="A1" s="1" t="s">
        <x:v>0</x:v>
      </x:c>
      <x:c r="B1" s="2"/>
      <x:c r="C1" s="2"/>
      <x:c r="D1" s="2"/>
      <x:c r="E1" s="2"/>
      <x:c r="F1" s="2"/>
      <x:c r="G1" s="2"/>
      <x:c r="H1" s="3"/>
    </x:row>
    <x:row r="2" ht="13.5" customHeight="1">
      <x:c r="A2" t="str">
        <x:v>New worker name</x:v>
      </x:c>
      <x:c r="B2" s="24"/>
    </x:row>
    <x:row r="3" ht="13.5" customHeight="1">
      <x:c r="A3" s="4" t="s">
        <x:v>1</x:v>
      </x:c>
      <x:c r="B3" s="5" t="s">
        <x:v>2</x:v>
      </x:c>
    </x:row>
    <x:row r="4" ht="13.5" customHeight="1"/>
    <x:row r="5" ht="13.5" customHeight="1">
      <x:c r="A5" s="6" t="s">
        <x:v>3</x:v>
      </x:c>
      <x:c r="B5" s="6" t="s">
        <x:v>4</x:v>
      </x:c>
      <x:c r="C5" s="6" t="str">
        <x:v>Kelvin hours</x:v>
      </x:c>
      <x:c r="D5" s="6" t="str">
        <x:v>Shirley hours</x:v>
      </x:c>
      <x:c r="E5" s="6" t="str">
        <x:v>Yarin hours</x:v>
      </x:c>
      <x:c r="F5" s="25" t="str">
        <x:f>IF($B$2="","New worker hours",$B$2&amp;" hours")</x:f>
        <x:v>New worker hours</x:v>
      </x:c>
      <x:c r="G5" s="30" t="str">
        <x:v>Status</x:v>
      </x:c>
    </x:row>
    <x:row r="6" ht="13.5" customHeight="1">
      <x:c r="A6" s="7" t="s">
        <x:v>5</x:v>
      </x:c>
      <x:c r="B6" s="8">
        <x:v>46174.0</x:v>
      </x:c>
      <x:c r="C6" s="9" t="n">
        <x:f>'June 2026'!H5</x:f>
        <x:v>0</x:v>
      </x:c>
      <x:c r="D6" s="9" t="n">
        <x:f>'June 2026'!I5</x:f>
        <x:v>0</x:v>
      </x:c>
      <x:c r="E6" s="9" t="n">
        <x:f>'June 2026'!J5</x:f>
        <x:v>0</x:v>
      </x:c>
      <x:c r="F6" s="33" t="n">
        <x:f t="shared" ref="F6:F21" si="1">'June 2026'!K5</x:f>
        <x:v>0</x:v>
      </x:c>
      <x:c r="G6" s="38" t="str">
        <x:f>IF(MAX(C6:E6,F6)&gt;17,"Over 17 hours","OK")</x:f>
        <x:v>OK</x:v>
      </x:c>
    </x:row>
    <x:row r="7" ht="13.5" customHeight="1">
      <x:c r="A7" s="7" t="s">
        <x:v>5</x:v>
      </x:c>
      <x:c r="B7" s="8">
        <x:v>46181.0</x:v>
      </x:c>
      <x:c r="C7" s="9" t="n">
        <x:f>'June 2026'!H6</x:f>
        <x:v>0</x:v>
      </x:c>
      <x:c r="D7" s="9" t="n">
        <x:f>'June 2026'!I6</x:f>
        <x:v>0</x:v>
      </x:c>
      <x:c r="E7" s="9" t="n">
        <x:f>'June 2026'!J6</x:f>
        <x:v>0</x:v>
      </x:c>
      <x:c r="F7" s="33" t="n">
        <x:f t="shared" si="1">'June 2026'!K6</x:f>
        <x:v>0</x:v>
      </x:c>
      <x:c r="G7" s="38" t="str">
        <x:f>IF(MAX(C7:E7,F7)&gt;17,"Over 17 hours","OK")</x:f>
        <x:v>OK</x:v>
      </x:c>
    </x:row>
    <x:row r="8" ht="13.5" customHeight="1">
      <x:c r="A8" s="7" t="s">
        <x:v>5</x:v>
      </x:c>
      <x:c r="B8" s="8">
        <x:v>46188.0</x:v>
      </x:c>
      <x:c r="C8" s="9" t="n">
        <x:f>'June 2026'!H7</x:f>
        <x:v>16</x:v>
      </x:c>
      <x:c r="D8" s="9" t="n">
        <x:f>'June 2026'!I7</x:f>
        <x:v>16</x:v>
      </x:c>
      <x:c r="E8" s="9" t="n">
        <x:f>'June 2026'!J7</x:f>
        <x:v>16</x:v>
      </x:c>
      <x:c r="F8" s="33" t="n">
        <x:f t="shared" si="1">'June 2026'!K7</x:f>
        <x:v>0</x:v>
      </x:c>
      <x:c r="G8" s="38" t="str">
        <x:f>IF(MAX(C8:E8,F8)&gt;17,"Over 17 hours","OK")</x:f>
        <x:v>OK</x:v>
      </x:c>
    </x:row>
    <x:row r="9" ht="13.5" customHeight="1">
      <x:c r="A9" s="7" t="s">
        <x:v>5</x:v>
      </x:c>
      <x:c r="B9" s="8">
        <x:v>46195.0</x:v>
      </x:c>
      <x:c r="C9" s="9" t="n">
        <x:f>'June 2026'!H8</x:f>
        <x:v>16</x:v>
      </x:c>
      <x:c r="D9" s="9" t="n">
        <x:f>'June 2026'!I8</x:f>
        <x:v>16</x:v>
      </x:c>
      <x:c r="E9" s="9" t="n">
        <x:f>'June 2026'!J8</x:f>
        <x:v>8</x:v>
      </x:c>
      <x:c r="F9" s="33" t="n">
        <x:f t="shared" si="1">'June 2026'!K8</x:f>
        <x:v>0</x:v>
      </x:c>
      <x:c r="G9" s="38" t="str">
        <x:f>IF(MAX(C9:E9,F9)&gt;17,"Over 17 hours","OK")</x:f>
        <x:v>OK</x:v>
      </x:c>
    </x:row>
    <x:row r="10" ht="13.5" customHeight="1">
      <x:c r="A10" s="7" t="s">
        <x:v>5</x:v>
      </x:c>
      <x:c r="B10" s="8">
        <x:v>46202.0</x:v>
      </x:c>
      <x:c r="C10" s="9" t="n">
        <x:f>'June 2026'!H9</x:f>
        <x:v>8</x:v>
      </x:c>
      <x:c r="D10" s="9" t="n">
        <x:f>'June 2026'!I9</x:f>
        <x:v>8</x:v>
      </x:c>
      <x:c r="E10" s="9" t="n">
        <x:f>'June 2026'!J9</x:f>
        <x:v>0</x:v>
      </x:c>
      <x:c r="F10" s="33" t="n">
        <x:f t="shared" si="1">'June 2026'!K9</x:f>
        <x:v>0</x:v>
      </x:c>
      <x:c r="G10" s="38" t="str">
        <x:f>IF(MAX(C10:E10,F10)&gt;17,"Over 17 hours","OK")</x:f>
        <x:v>OK</x:v>
      </x:c>
    </x:row>
    <x:row r="11" ht="13.5" customHeight="1">
      <x:c r="A11" s="7" t="s">
        <x:v>6</x:v>
      </x:c>
      <x:c r="B11" s="8">
        <x:v>46202.0</x:v>
      </x:c>
      <x:c r="C11" s="9" t="n">
        <x:f>'July 2026'!H5</x:f>
        <x:v>8</x:v>
      </x:c>
      <x:c r="D11" s="9" t="n">
        <x:f>'July 2026'!I5</x:f>
        <x:v>8</x:v>
      </x:c>
      <x:c r="E11" s="9" t="n">
        <x:f>'July 2026'!J5</x:f>
        <x:v>8</x:v>
      </x:c>
      <x:c r="F11" s="33" t="n">
        <x:f t="shared" si="1">'July 2026'!K5</x:f>
        <x:v>0</x:v>
      </x:c>
      <x:c r="G11" s="38" t="str">
        <x:f>IF(MAX(C11:E11,F11)&gt;17,"Over 17 hours","OK")</x:f>
        <x:v>OK</x:v>
      </x:c>
    </x:row>
    <x:row r="12" ht="13.5" customHeight="1">
      <x:c r="A12" s="7" t="s">
        <x:v>6</x:v>
      </x:c>
      <x:c r="B12" s="8">
        <x:v>46209.0</x:v>
      </x:c>
      <x:c r="C12" s="9" t="n">
        <x:f>'July 2026'!H6</x:f>
        <x:v>16</x:v>
      </x:c>
      <x:c r="D12" s="9" t="n">
        <x:f>'July 2026'!I6</x:f>
        <x:v>16</x:v>
      </x:c>
      <x:c r="E12" s="9" t="n">
        <x:f>'July 2026'!J6</x:f>
        <x:v>8</x:v>
      </x:c>
      <x:c r="F12" s="33" t="n">
        <x:f t="shared" si="1">'July 2026'!K6</x:f>
        <x:v>0</x:v>
      </x:c>
      <x:c r="G12" s="38" t="str">
        <x:f>IF(MAX(C12:E12,F12)&gt;17,"Over 17 hours","OK")</x:f>
        <x:v>OK</x:v>
      </x:c>
    </x:row>
    <x:row r="13" ht="13.5" customHeight="1">
      <x:c r="A13" s="7" t="s">
        <x:v>6</x:v>
      </x:c>
      <x:c r="B13" s="8">
        <x:v>46216.0</x:v>
      </x:c>
      <x:c r="C13" s="9" t="n">
        <x:f>'July 2026'!H7</x:f>
        <x:v>16</x:v>
      </x:c>
      <x:c r="D13" s="9" t="n">
        <x:f>'July 2026'!I7</x:f>
        <x:v>16</x:v>
      </x:c>
      <x:c r="E13" s="9" t="n">
        <x:f>'July 2026'!J7</x:f>
        <x:v>8</x:v>
      </x:c>
      <x:c r="F13" s="33" t="n">
        <x:f t="shared" si="1">'July 2026'!K7</x:f>
        <x:v>0</x:v>
      </x:c>
      <x:c r="G13" s="38" t="str">
        <x:f>IF(MAX(C13:E13,F13)&gt;17,"Over 17 hours","OK")</x:f>
        <x:v>OK</x:v>
      </x:c>
    </x:row>
    <x:row r="14" ht="13.5" customHeight="1">
      <x:c r="A14" s="7" t="s">
        <x:v>6</x:v>
      </x:c>
      <x:c r="B14" s="8">
        <x:v>46223.0</x:v>
      </x:c>
      <x:c r="C14" s="9" t="n">
        <x:f>'July 2026'!H8</x:f>
        <x:v>16</x:v>
      </x:c>
      <x:c r="D14" s="9" t="n">
        <x:f>'July 2026'!I8</x:f>
        <x:v>16</x:v>
      </x:c>
      <x:c r="E14" s="9" t="n">
        <x:f>'July 2026'!J8</x:f>
        <x:v>8</x:v>
      </x:c>
      <x:c r="F14" s="33" t="n">
        <x:f t="shared" si="1">'July 2026'!K8</x:f>
        <x:v>0</x:v>
      </x:c>
      <x:c r="G14" s="38" t="str">
        <x:f>IF(MAX(C14:E14,F14)&gt;17,"Over 17 hours","OK")</x:f>
        <x:v>OK</x:v>
      </x:c>
    </x:row>
    <x:row r="15" ht="13.5" customHeight="1">
      <x:c r="A15" s="7" t="s">
        <x:v>6</x:v>
      </x:c>
      <x:c r="B15" s="8">
        <x:v>46230.0</x:v>
      </x:c>
      <x:c r="C15" s="9" t="n">
        <x:f>'July 2026'!H9</x:f>
        <x:v>0</x:v>
      </x:c>
      <x:c r="D15" s="9" t="n">
        <x:f>'July 2026'!I9</x:f>
        <x:v>0</x:v>
      </x:c>
      <x:c r="E15" s="9" t="n">
        <x:f>'July 2026'!J9</x:f>
        <x:v>0</x:v>
      </x:c>
      <x:c r="F15" s="33" t="n">
        <x:f t="shared" si="1">'July 2026'!K9</x:f>
        <x:v>0</x:v>
      </x:c>
      <x:c r="G15" s="38" t="str">
        <x:f>IF(MAX(C15:E15,F15)&gt;17,"Over 17 hours","OK")</x:f>
        <x:v>OK</x:v>
      </x:c>
    </x:row>
    <x:row r="16" ht="13.5" customHeight="1">
      <x:c r="A16" s="7" t="s">
        <x:v>7</x:v>
      </x:c>
      <x:c r="B16" s="8">
        <x:v>46230.0</x:v>
      </x:c>
      <x:c r="C16" s="9" t="n">
        <x:f>'August 2026'!H5</x:f>
        <x:v>0</x:v>
      </x:c>
      <x:c r="D16" s="9" t="n">
        <x:f>'August 2026'!I5</x:f>
        <x:v>0</x:v>
      </x:c>
      <x:c r="E16" s="9" t="n">
        <x:f>'August 2026'!J5</x:f>
        <x:v>0</x:v>
      </x:c>
      <x:c r="F16" s="33" t="n">
        <x:f t="shared" si="1">'August 2026'!K5</x:f>
        <x:v>0</x:v>
      </x:c>
      <x:c r="G16" s="38" t="str">
        <x:f>IF(MAX(C16:E16,F16)&gt;17,"Over 17 hours","OK")</x:f>
        <x:v>OK</x:v>
      </x:c>
    </x:row>
    <x:row r="17" ht="13.5" customHeight="1">
      <x:c r="A17" s="7" t="s">
        <x:v>7</x:v>
      </x:c>
      <x:c r="B17" s="8">
        <x:v>46237.0</x:v>
      </x:c>
      <x:c r="C17" s="9" t="n">
        <x:f>'August 2026'!H6</x:f>
        <x:v>0</x:v>
      </x:c>
      <x:c r="D17" s="9" t="n">
        <x:f>'August 2026'!I6</x:f>
        <x:v>0</x:v>
      </x:c>
      <x:c r="E17" s="9" t="n">
        <x:f>'August 2026'!J6</x:f>
        <x:v>0</x:v>
      </x:c>
      <x:c r="F17" s="33" t="n">
        <x:f t="shared" si="1">'August 2026'!K6</x:f>
        <x:v>0</x:v>
      </x:c>
      <x:c r="G17" s="38" t="str">
        <x:f>IF(MAX(C17:E17,F17)&gt;17,"Over 17 hours","OK")</x:f>
        <x:v>OK</x:v>
      </x:c>
    </x:row>
    <x:row r="18" ht="13.5" customHeight="1">
      <x:c r="A18" s="7" t="s">
        <x:v>7</x:v>
      </x:c>
      <x:c r="B18" s="8">
        <x:v>46244.0</x:v>
      </x:c>
      <x:c r="C18" s="9" t="n">
        <x:f>'August 2026'!H7</x:f>
        <x:v>0</x:v>
      </x:c>
      <x:c r="D18" s="9" t="n">
        <x:f>'August 2026'!I7</x:f>
        <x:v>0</x:v>
      </x:c>
      <x:c r="E18" s="9" t="n">
        <x:f>'August 2026'!J7</x:f>
        <x:v>0</x:v>
      </x:c>
      <x:c r="F18" s="33" t="n">
        <x:f t="shared" si="1">'August 2026'!K7</x:f>
        <x:v>0</x:v>
      </x:c>
      <x:c r="G18" s="38" t="str">
        <x:f>IF(MAX(C18:E18,F18)&gt;17,"Over 17 hours","OK")</x:f>
        <x:v>OK</x:v>
      </x:c>
    </x:row>
    <x:row r="19" ht="13.5" customHeight="1">
      <x:c r="A19" s="7" t="s">
        <x:v>7</x:v>
      </x:c>
      <x:c r="B19" s="8">
        <x:v>46251.0</x:v>
      </x:c>
      <x:c r="C19" s="9" t="n">
        <x:f>'August 2026'!H8</x:f>
        <x:v>0</x:v>
      </x:c>
      <x:c r="D19" s="9" t="n">
        <x:f>'August 2026'!I8</x:f>
        <x:v>0</x:v>
      </x:c>
      <x:c r="E19" s="9" t="n">
        <x:f>'August 2026'!J8</x:f>
        <x:v>0</x:v>
      </x:c>
      <x:c r="F19" s="33" t="n">
        <x:f t="shared" si="1">'August 2026'!K8</x:f>
        <x:v>0</x:v>
      </x:c>
      <x:c r="G19" s="38" t="str">
        <x:f>IF(MAX(C19:E19,F19)&gt;17,"Over 17 hours","OK")</x:f>
        <x:v>OK</x:v>
      </x:c>
    </x:row>
    <x:row r="20" ht="13.5" customHeight="1">
      <x:c r="A20" s="7" t="s">
        <x:v>7</x:v>
      </x:c>
      <x:c r="B20" s="8">
        <x:v>46258.0</x:v>
      </x:c>
      <x:c r="C20" s="9" t="n">
        <x:f>'August 2026'!H9</x:f>
        <x:v>0</x:v>
      </x:c>
      <x:c r="D20" s="9" t="n">
        <x:f>'August 2026'!I9</x:f>
        <x:v>0</x:v>
      </x:c>
      <x:c r="E20" s="9" t="n">
        <x:f>'August 2026'!J9</x:f>
        <x:v>0</x:v>
      </x:c>
      <x:c r="F20" s="33" t="n">
        <x:f t="shared" si="1">'August 2026'!K9</x:f>
        <x:v>0</x:v>
      </x:c>
      <x:c r="G20" s="38" t="str">
        <x:f>IF(MAX(C20:E20,F20)&gt;17,"Over 17 hours","OK")</x:f>
        <x:v>OK</x:v>
      </x:c>
    </x:row>
    <x:row r="21" ht="13.5" customHeight="1">
      <x:c r="A21" s="7" t="s">
        <x:v>7</x:v>
      </x:c>
      <x:c r="B21" s="8">
        <x:v>46265.0</x:v>
      </x:c>
      <x:c r="C21" s="9" t="n">
        <x:f>'August 2026'!H10</x:f>
        <x:v>0</x:v>
      </x:c>
      <x:c r="D21" s="9" t="n">
        <x:f>'August 2026'!I10</x:f>
        <x:v>0</x:v>
      </x:c>
      <x:c r="E21" s="9" t="n">
        <x:f>'August 2026'!J10</x:f>
        <x:v>0</x:v>
      </x:c>
      <x:c r="F21" s="33" t="n">
        <x:f t="shared" si="1">'August 2026'!K10</x:f>
        <x:v>0</x:v>
      </x:c>
      <x:c r="G21" s="38" t="str">
        <x:f>IF(MAX(C21:E21,F21)&gt;17,"Over 17 hours","OK")</x:f>
        <x:v>OK</x:v>
      </x:c>
    </x:row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1:H1"/>
  </x:mergeCells>
  <x:conditionalFormatting sqref="C6:E21">
    <x:cfRule type="cellIs" dxfId="0" priority="1" operator="greaterThan">
      <x:formula>17</x:formula>
    </x:cfRule>
  </x:conditionalFormatting>
  <x:conditionalFormatting sqref="F6:F21">
    <x:cfRule type="cellIs" dxfId="2" priority="2" operator="greaterThan">
      <x:formula>17</x:formula>
    </x:cfRule>
  </x:conditionalFormatting>
  <x:conditionalFormatting sqref="G6:G21">
    <x:cfRule type="expression" dxfId="3" priority="3">
      <x:formula>G6="Over 17 hours"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5" width="22" customWidth="1"/>
    <x:col min="6" max="6" width="3" customWidth="1"/>
    <x:col min="7" max="7" width="15" customWidth="1"/>
    <x:col min="8" max="10" width="13" customWidth="1"/>
    <x:col min="11" max="11" width="13" hidden="0" customWidth="1"/>
    <x:col min="12" max="12" width="8.880000114440918" customWidth="1"/>
    <x:col min="13" max="13" width="8.880000114440918" hidden="1" customWidth="1"/>
    <x:col min="14" max="26" width="8.880000114440918" customWidth="1"/>
    <x:col min="12" max="12" width="24" hidden="0" customWidth="1"/>
  </x:cols>
  <x:sheetData>
    <x:row r="1" ht="13.5" customHeight="1">
      <x:c r="A1" s="1" t="s">
        <x:v>8</x:v>
      </x:c>
      <x:c r="B1" s="2"/>
      <x:c r="C1" s="2"/>
      <x:c r="D1" s="2"/>
      <x:c r="E1" s="2"/>
      <x:c r="F1" s="2"/>
      <x:c r="G1" s="3"/>
    </x:row>
    <x:row r="2" ht="13.5" customHeight="1">
      <x:c r="A2" s="10" t="s">
        <x:v>9</x:v>
      </x:c>
      <x:c r="B2" s="2"/>
      <x:c r="C2" s="2"/>
      <x:c r="D2" s="2"/>
      <x:c r="E2" s="2"/>
      <x:c r="F2" s="2"/>
      <x:c r="G2" s="3"/>
      <x:c r="M2" s="39" t="str">
        <x:f>IF('Summary'!$B$2="","Name pending: ☐",'Summary'!$B$2&amp;": ☐")</x:f>
        <x:v>Name pending: ☐</x:v>
      </x:c>
    </x:row>
    <x:row r="3" ht="13.5" customHeight="1">
      <x:c r="M3" s="39" t="str">
        <x:f>IF('Summary'!$B$2="","Name pending: ☑ HHB",'Summary'!$B$2&amp;": ☑ HHB")</x:f>
        <x:v>Name pending: ☑ HHB</x:v>
      </x:c>
    </x:row>
    <x:row r="4" ht="13.5" customHeight="1">
      <x:c r="A4" s="6" t="s">
        <x:v>10</x:v>
      </x:c>
      <x:c r="B4" s="6" t="s">
        <x:v>11</x:v>
      </x:c>
      <x:c r="C4" s="6" t="s">
        <x:v>12</x:v>
      </x:c>
      <x:c r="D4" s="6" t="s">
        <x:v>13</x:v>
      </x:c>
      <x:c r="E4" s="6" t="s">
        <x:v>14</x:v>
      </x:c>
      <x:c r="G4" s="6" t="s">
        <x:v>4</x:v>
      </x:c>
      <x:c r="H4" s="6" t="s">
        <x:v>15</x:v>
      </x:c>
      <x:c r="I4" s="6" t="s">
        <x:v>16</x:v>
      </x:c>
      <x:c r="J4" s="6" t="s">
        <x:v>17</x:v>
      </x:c>
      <x:c r="K4" s="25" t="str">
        <x:f>IF('Summary'!$B$2="","New worker",'Summary'!$B$2)</x:f>
        <x:v>New worker</x:v>
      </x:c>
      <x:c r="L4" s="30" t="str">
        <x:v>Status</x:v>
      </x:c>
      <x:c r="M4" s="39" t="str">
        <x:f>IF('Summary'!$B$2="","Name pending: ☑ WFH",'Summary'!$B$2&amp;": ☑ WFH")</x:f>
        <x:v>Name pending: ☑ WFH</x:v>
      </x:c>
    </x:row>
    <x:row r="5" ht="26.25" customHeight="1">
      <x:c r="A5" s="42">
        <x:v>46174.0</x:v>
      </x:c>
      <x:c r="B5" s="42">
        <x:v>46175.0</x:v>
      </x:c>
      <x:c r="C5" s="42">
        <x:v>46176.0</x:v>
      </x:c>
      <x:c r="D5" s="42">
        <x:v>46177.0</x:v>
      </x:c>
      <x:c r="E5" s="42">
        <x:v>46178.0</x:v>
      </x:c>
      <x:c r="G5" s="8">
        <x:v>46174.0</x:v>
      </x:c>
      <x:c r="H5" s="9" t="n">
        <x:f>IF(ISNUMBER(SEARCH("☑",A6)),8,0)+IF(ISNUMBER(SEARCH("☑",B6)),8,0)+IF(ISNUMBER(SEARCH("☑",C6)),8,0)+IF(ISNUMBER(SEARCH("☑",D6)),8,0)+IF(ISNUMBER(SEARCH("☑",E6)),8,0)</x:f>
        <x:v>0</x:v>
      </x:c>
      <x:c r="I5" s="9" t="n">
        <x:f>IF(ISNUMBER(SEARCH("☑",A7)),8,0)+IF(ISNUMBER(SEARCH("☑",B7)),8,0)+IF(ISNUMBER(SEARCH("☑",C7)),8,0)+IF(ISNUMBER(SEARCH("☑",D7)),8,0)+IF(ISNUMBER(SEARCH("☑",E7)),8,0)</x:f>
        <x:v>0</x:v>
      </x:c>
      <x:c r="J5" s="9" t="n">
        <x:f>IF(ISNUMBER(SEARCH("☑",A8)),8,0)+IF(ISNUMBER(SEARCH("☑",B8)),8,0)+IF(ISNUMBER(SEARCH("☑",C8)),8,0)+IF(ISNUMBER(SEARCH("☑",D8)),8,0)+IF(ISNUMBER(SEARCH("☑",E8)),8,0)</x:f>
        <x:v>0</x:v>
      </x:c>
      <x:c r="K5" s="33" t="n">
        <x:f t="shared" ref="K5:K9" si="1">IF(ISNUMBER(SEARCH("☑",A9)),8,0)+IF(ISNUMBER(SEARCH("☑",B9)),8,0)+IF(ISNUMBER(SEARCH("☑",C9)),8,0)+IF(ISNUMBER(SEARCH("☑",D9)),8,0)+IF(ISNUMBER(SEARCH("☑",E9)),8,0)</x:f>
        <x:v>0</x:v>
      </x:c>
      <x:c r="L5" s="38" t="str">
        <x:f>IF(MAX(H5:J5,K5)&gt;17,"Over 17 hours","OK")</x:f>
        <x:v>OK</x:v>
      </x:c>
      <x:c r="M5" s="39" t="str">
        <x:f>IF('Summary'!$B$2="","Name pending: X",'Summary'!$B$2&amp;": X")</x:f>
        <x:v>Name pending: X</x:v>
      </x:c>
    </x:row>
    <x:row r="6" ht="26.25" customHeight="1">
      <x:c r="A6" s="52" t="s">
        <x:v>18</x:v>
      </x:c>
      <x:c r="B6" s="52" t="s">
        <x:v>19</x:v>
      </x:c>
      <x:c r="C6" s="52" t="s">
        <x:v>19</x:v>
      </x:c>
      <x:c r="D6" s="52" t="s">
        <x:v>19</x:v>
      </x:c>
      <x:c r="E6" s="52" t="s">
        <x:v>19</x:v>
      </x:c>
      <x:c r="G6" s="8">
        <x:v>46181.0</x:v>
      </x:c>
      <x:c r="H6" s="9" t="n">
        <x:f>IF(ISNUMBER(SEARCH("☑",A13)),8,0)+IF(ISNUMBER(SEARCH("☑",B13)),8,0)+IF(ISNUMBER(SEARCH("☑",C13)),8,0)+IF(ISNUMBER(SEARCH("☑",D13)),8,0)+IF(ISNUMBER(SEARCH("☑",E13)),8,0)</x:f>
        <x:v>0</x:v>
      </x:c>
      <x:c r="I6" s="9" t="n">
        <x:f>IF(ISNUMBER(SEARCH("☑",A14)),8,0)+IF(ISNUMBER(SEARCH("☑",B14)),8,0)+IF(ISNUMBER(SEARCH("☑",C14)),8,0)+IF(ISNUMBER(SEARCH("☑",D14)),8,0)+IF(ISNUMBER(SEARCH("☑",E14)),8,0)</x:f>
        <x:v>0</x:v>
      </x:c>
      <x:c r="J6" s="9" t="n">
        <x:f>IF(ISNUMBER(SEARCH("☑",A15)),8,0)+IF(ISNUMBER(SEARCH("☑",B15)),8,0)+IF(ISNUMBER(SEARCH("☑",C15)),8,0)+IF(ISNUMBER(SEARCH("☑",D15)),8,0)+IF(ISNUMBER(SEARCH("☑",E15)),8,0)</x:f>
        <x:v>0</x:v>
      </x:c>
      <x:c r="K6" s="33" t="n">
        <x:f t="shared" si="1">IF(ISNUMBER(SEARCH("☑",A16)),8,0)+IF(ISNUMBER(SEARCH("☑",B16)),8,0)+IF(ISNUMBER(SEARCH("☑",C16)),8,0)+IF(ISNUMBER(SEARCH("☑",D16)),8,0)+IF(ISNUMBER(SEARCH("☑",E16)),8,0)</x:f>
        <x:v>0</x:v>
      </x:c>
      <x:c r="L6" s="38" t="str">
        <x:f>IF(MAX(H6:J6,K6)&gt;17,"Over 17 hours","OK")</x:f>
        <x:v>OK</x:v>
      </x:c>
    </x:row>
    <x:row r="7" ht="26.25" customHeight="1">
      <x:c r="A7" s="52" t="s">
        <x:v>20</x:v>
      </x:c>
      <x:c r="B7" s="52" t="s">
        <x:v>21</x:v>
      </x:c>
      <x:c r="C7" s="52" t="s">
        <x:v>20</x:v>
      </x:c>
      <x:c r="D7" s="52" t="s">
        <x:v>20</x:v>
      </x:c>
      <x:c r="E7" s="52" t="s">
        <x:v>20</x:v>
      </x:c>
      <x:c r="G7" s="8">
        <x:v>46188.0</x:v>
      </x:c>
      <x:c r="H7" s="9" t="n">
        <x:f>IF(ISNUMBER(SEARCH("☑",A20)),8,0)+IF(ISNUMBER(SEARCH("☑",B20)),8,0)+IF(ISNUMBER(SEARCH("☑",C20)),8,0)+IF(ISNUMBER(SEARCH("☑",D20)),8,0)+IF(ISNUMBER(SEARCH("☑",E20)),8,0)</x:f>
        <x:v>16</x:v>
      </x:c>
      <x:c r="I7" s="9" t="n">
        <x:f>IF(ISNUMBER(SEARCH("☑",A21)),8,0)+IF(ISNUMBER(SEARCH("☑",B21)),8,0)+IF(ISNUMBER(SEARCH("☑",C21)),8,0)+IF(ISNUMBER(SEARCH("☑",D21)),8,0)+IF(ISNUMBER(SEARCH("☑",E21)),8,0)</x:f>
        <x:v>16</x:v>
      </x:c>
      <x:c r="J7" s="9" t="n">
        <x:f>IF(ISNUMBER(SEARCH("☑",A22)),8,0)+IF(ISNUMBER(SEARCH("☑",B22)),8,0)+IF(ISNUMBER(SEARCH("☑",C22)),8,0)+IF(ISNUMBER(SEARCH("☑",D22)),8,0)+IF(ISNUMBER(SEARCH("☑",E22)),8,0)</x:f>
        <x:v>16</x:v>
      </x:c>
      <x:c r="K7" s="33" t="n">
        <x:f t="shared" si="1">IF(ISNUMBER(SEARCH("☑",A23)),8,0)+IF(ISNUMBER(SEARCH("☑",B23)),8,0)+IF(ISNUMBER(SEARCH("☑",C23)),8,0)+IF(ISNUMBER(SEARCH("☑",D23)),8,0)+IF(ISNUMBER(SEARCH("☑",E23)),8,0)</x:f>
        <x:v>0</x:v>
      </x:c>
      <x:c r="L7" s="38" t="str">
        <x:f>IF(MAX(H7:J7,K7)&gt;17,"Over 17 hours","OK")</x:f>
        <x:v>OK</x:v>
      </x:c>
    </x:row>
    <x:row r="8" ht="26.25" customHeight="1">
      <x:c r="A8" s="52" t="s">
        <x:v>22</x:v>
      </x:c>
      <x:c r="B8" s="52" t="s">
        <x:v>23</x:v>
      </x:c>
      <x:c r="C8" s="52" t="s">
        <x:v>22</x:v>
      </x:c>
      <x:c r="D8" s="52" t="s">
        <x:v>22</x:v>
      </x:c>
      <x:c r="E8" s="52" t="s">
        <x:v>22</x:v>
      </x:c>
      <x:c r="G8" s="8">
        <x:v>46195.0</x:v>
      </x:c>
      <x:c r="H8" s="9" t="n">
        <x:f>IF(ISNUMBER(SEARCH("☑",A27)),8,0)+IF(ISNUMBER(SEARCH("☑",B27)),8,0)+IF(ISNUMBER(SEARCH("☑",C27)),8,0)+IF(ISNUMBER(SEARCH("☑",D27)),8,0)+IF(ISNUMBER(SEARCH("☑",E27)),8,0)</x:f>
        <x:v>16</x:v>
      </x:c>
      <x:c r="I8" s="9" t="n">
        <x:f>IF(ISNUMBER(SEARCH("☑",A28)),8,0)+IF(ISNUMBER(SEARCH("☑",B28)),8,0)+IF(ISNUMBER(SEARCH("☑",C28)),8,0)+IF(ISNUMBER(SEARCH("☑",D28)),8,0)+IF(ISNUMBER(SEARCH("☑",E28)),8,0)</x:f>
        <x:v>16</x:v>
      </x:c>
      <x:c r="J8" s="9" t="n">
        <x:f>IF(ISNUMBER(SEARCH("☑",A29)),8,0)+IF(ISNUMBER(SEARCH("☑",B29)),8,0)+IF(ISNUMBER(SEARCH("☑",C29)),8,0)+IF(ISNUMBER(SEARCH("☑",D29)),8,0)+IF(ISNUMBER(SEARCH("☑",E29)),8,0)</x:f>
        <x:v>8</x:v>
      </x:c>
      <x:c r="K8" s="33" t="n">
        <x:f t="shared" si="1">IF(ISNUMBER(SEARCH("☑",A30)),8,0)+IF(ISNUMBER(SEARCH("☑",B30)),8,0)+IF(ISNUMBER(SEARCH("☑",C30)),8,0)+IF(ISNUMBER(SEARCH("☑",D30)),8,0)+IF(ISNUMBER(SEARCH("☑",E30)),8,0)</x:f>
        <x:v>0</x:v>
      </x:c>
      <x:c r="L8" s="38" t="str">
        <x:f>IF(MAX(H8:J8,K8)&gt;17,"Over 17 hours","OK")</x:f>
        <x:v>OK</x:v>
      </x:c>
    </x:row>
    <x:row r="9" ht="26.25" customHeight="1">
      <x:c r="A9" s="44" t="str">
        <x:f t="shared" ref="A9:E9" si="2">IF('Summary'!$B$2="","Name pending: ☐",'Summary'!$B$2&amp;": ☐")</x:f>
        <x:v>Name pending: ☐</x:v>
      </x:c>
      <x:c r="B9" s="44" t="str">
        <x:f t="shared" si="2">IF('Summary'!$B$2="","Name pending: ☐",'Summary'!$B$2&amp;": ☐")</x:f>
        <x:v>Name pending: ☐</x:v>
      </x:c>
      <x:c r="C9" s="44" t="str">
        <x:f t="shared" si="2">IF('Summary'!$B$2="","Name pending: ☐",'Summary'!$B$2&amp;": ☐")</x:f>
        <x:v>Name pending: ☐</x:v>
      </x:c>
      <x:c r="D9" s="44" t="str">
        <x:f t="shared" si="2">IF('Summary'!$B$2="","Name pending: ☐",'Summary'!$B$2&amp;": ☐")</x:f>
        <x:v>Name pending: ☐</x:v>
      </x:c>
      <x:c r="E9" s="44" t="str">
        <x:f t="shared" si="2">IF('Summary'!$B$2="","Name pending: ☐",'Summary'!$B$2&amp;": ☐")</x:f>
        <x:v>Name pending: ☐</x:v>
      </x:c>
      <x:c r="F9"/>
      <x:c r="G9" s="8">
        <x:v>46202.0</x:v>
      </x:c>
      <x:c r="H9" s="9" t="n">
        <x:f>IF(ISNUMBER(SEARCH("☑",A34)),8,0)+IF(ISNUMBER(SEARCH("☑",B34)),8,0)</x:f>
        <x:v>8</x:v>
      </x:c>
      <x:c r="I9" s="9" t="n">
        <x:f>IF(ISNUMBER(SEARCH("☑",A35)),8,0)+IF(ISNUMBER(SEARCH("☑",B35)),8,0)</x:f>
        <x:v>8</x:v>
      </x:c>
      <x:c r="J9" s="9" t="n">
        <x:f>IF(ISNUMBER(SEARCH("☑",A36)),8,0)+IF(ISNUMBER(SEARCH("☑",B36)),8,0)</x:f>
        <x:v>0</x:v>
      </x:c>
      <x:c r="K9" s="33" t="n">
        <x:f t="shared" si="1">IF(ISNUMBER(SEARCH("☑",A37)),8,0)+IF(ISNUMBER(SEARCH("☑",B37)),8,0)</x:f>
        <x:v>0</x:v>
      </x:c>
      <x:c r="L9" s="38" t="str">
        <x:f>IF(MAX(H9:J9,K9)&gt;17,"Over 17 hours","OK")</x:f>
        <x:v>OK</x:v>
      </x:c>
    </x:row>
    <x:row r="10" ht="26.25" customHeight="1">
      <x:c r="A10" s="50" t="n">
        <x:f>IF(ISNUMBER(SEARCH("☑",A6)),8,0)+IF(ISNUMBER(SEARCH("☑",A7)),8,0)+IF(ISNUMBER(SEARCH("☑",A8)),8,0)+IF(ISNUMBER(SEARCH("☑",A9)),8,0)</x:f>
        <x:v>0</x:v>
      </x:c>
      <x:c r="B10" s="50" t="n">
        <x:f>IF(ISNUMBER(SEARCH("☑",B6)),8,0)+IF(ISNUMBER(SEARCH("☑",B7)),8,0)+IF(ISNUMBER(SEARCH("☑",B8)),8,0)+IF(ISNUMBER(SEARCH("☑",B9)),8,0)</x:f>
        <x:v>0</x:v>
      </x:c>
      <x:c r="C10" s="50" t="n">
        <x:f>IF(ISNUMBER(SEARCH("☑",C6)),8,0)+IF(ISNUMBER(SEARCH("☑",C7)),8,0)+IF(ISNUMBER(SEARCH("☑",C8)),8,0)+IF(ISNUMBER(SEARCH("☑",C9)),8,0)</x:f>
        <x:v>0</x:v>
      </x:c>
      <x:c r="D10" s="50" t="n">
        <x:f>IF(ISNUMBER(SEARCH("☑",D6)),8,0)+IF(ISNUMBER(SEARCH("☑",D7)),8,0)+IF(ISNUMBER(SEARCH("☑",D8)),8,0)+IF(ISNUMBER(SEARCH("☑",D9)),8,0)</x:f>
        <x:v>0</x:v>
      </x:c>
      <x:c r="E10" s="50" t="n">
        <x:f>IF(ISNUMBER(SEARCH("☑",E6)),8,0)+IF(ISNUMBER(SEARCH("☑",E7)),8,0)+IF(ISNUMBER(SEARCH("☑",E8)),8,0)+IF(ISNUMBER(SEARCH("☑",E9)),8,0)</x:f>
        <x:v>0</x:v>
      </x:c>
      <x:c r="F10"/>
    </x:row>
    <x:row r="11" ht="26.25" customHeight="1">
      <x:c r="A11"/>
      <x:c r="B11"/>
      <x:c r="C11"/>
      <x:c r="D11"/>
      <x:c r="E11"/>
      <x:c r="F11"/>
    </x:row>
    <x:row r="12" ht="26.25" customHeight="1">
      <x:c r="A12" s="58" t="n">
        <x:v>46181</x:v>
      </x:c>
      <x:c r="B12" s="58" t="n">
        <x:v>46182</x:v>
      </x:c>
      <x:c r="C12" s="58" t="n">
        <x:v>46183</x:v>
      </x:c>
      <x:c r="D12" s="58" t="n">
        <x:v>46184</x:v>
      </x:c>
      <x:c r="E12" s="58" t="n">
        <x:v>46185</x:v>
      </x:c>
      <x:c r="F12"/>
    </x:row>
    <x:row r="13" ht="26.25" customHeight="1">
      <x:c r="A13" s="38" t="str">
        <x:v>Kelvin: ☐</x:v>
      </x:c>
      <x:c r="B13" s="38" t="str">
        <x:v>Kelvin: ☐</x:v>
      </x:c>
      <x:c r="C13" s="38" t="str">
        <x:v>Kelvin: ☐</x:v>
      </x:c>
      <x:c r="D13" s="38" t="str">
        <x:v>Kelvin: ☐</x:v>
      </x:c>
      <x:c r="E13" s="38" t="str">
        <x:v>Kelvin: ☐</x:v>
      </x:c>
      <x:c r="F13"/>
    </x:row>
    <x:row r="14" ht="26.25" customHeight="1">
      <x:c r="A14" s="38" t="str">
        <x:v>Shirley: ☐</x:v>
      </x:c>
      <x:c r="B14" s="38" t="str">
        <x:v>Shirley: ☐</x:v>
      </x:c>
      <x:c r="C14" s="38" t="str">
        <x:v>Shirley: ☐</x:v>
      </x:c>
      <x:c r="D14" s="38" t="str">
        <x:v>Shirley: ☐</x:v>
      </x:c>
      <x:c r="E14" s="38" t="str">
        <x:v>Shirley: ☐</x:v>
      </x:c>
      <x:c r="F14"/>
    </x:row>
    <x:row r="15" ht="26.25" customHeight="1">
      <x:c r="A15" s="38" t="str">
        <x:v>Yarin: ☐</x:v>
      </x:c>
      <x:c r="B15" s="38" t="str">
        <x:v>Yarin: ☐</x:v>
      </x:c>
      <x:c r="C15" s="38" t="str">
        <x:v>Yarin: ☐</x:v>
      </x:c>
      <x:c r="D15" s="38" t="str">
        <x:v>Yarin: ☐</x:v>
      </x:c>
      <x:c r="E15" s="38" t="str">
        <x:v>Yarin: ☐</x:v>
      </x:c>
      <x:c r="F15"/>
    </x:row>
    <x:row r="16" ht="26.25" customHeight="1">
      <x:c r="A16" s="38" t="str">
        <x:f>IF('Summary'!$B$2="","Name pending: ☐",'Summary'!$B$2&amp;": ☐")</x:f>
        <x:v>Name pending: ☐</x:v>
      </x:c>
      <x:c r="B16" s="38" t="str">
        <x:f>IF('Summary'!$B$2="","Name pending: ☐",'Summary'!$B$2&amp;": ☐")</x:f>
        <x:v>Name pending: ☐</x:v>
      </x:c>
      <x:c r="C16" s="38" t="str">
        <x:f>IF('Summary'!$B$2="","Name pending: ☐",'Summary'!$B$2&amp;": ☐")</x:f>
        <x:v>Name pending: ☐</x:v>
      </x:c>
      <x:c r="D16" s="38" t="str">
        <x:f>IF('Summary'!$B$2="","Name pending: ☐",'Summary'!$B$2&amp;": ☐")</x:f>
        <x:v>Name pending: ☐</x:v>
      </x:c>
      <x:c r="E16" s="38" t="str">
        <x:f>IF('Summary'!$B$2="","Name pending: ☐",'Summary'!$B$2&amp;": ☐")</x:f>
        <x:v>Name pending: ☐</x:v>
      </x:c>
      <x:c r="F16"/>
    </x:row>
    <x:row r="17" ht="26.25" customHeight="1">
      <x:c r="A17" s="50" t="n">
        <x:f>IF(ISNUMBER(SEARCH("☑",A13)),8,0)+IF(ISNUMBER(SEARCH("☑",A14)),8,0)+IF(ISNUMBER(SEARCH("☑",A15)),8,0)+IF(ISNUMBER(SEARCH("☑",A16)),8,0)</x:f>
        <x:v>0</x:v>
      </x:c>
      <x:c r="B17" s="50" t="n">
        <x:f>IF(ISNUMBER(SEARCH("☑",B13)),8,0)+IF(ISNUMBER(SEARCH("☑",B14)),8,0)+IF(ISNUMBER(SEARCH("☑",B15)),8,0)+IF(ISNUMBER(SEARCH("☑",B16)),8,0)</x:f>
        <x:v>0</x:v>
      </x:c>
      <x:c r="C17" s="50" t="n">
        <x:f>IF(ISNUMBER(SEARCH("☑",C13)),8,0)+IF(ISNUMBER(SEARCH("☑",C14)),8,0)+IF(ISNUMBER(SEARCH("☑",C15)),8,0)+IF(ISNUMBER(SEARCH("☑",C16)),8,0)</x:f>
        <x:v>0</x:v>
      </x:c>
      <x:c r="D17" s="50" t="n">
        <x:f>IF(ISNUMBER(SEARCH("☑",D13)),8,0)+IF(ISNUMBER(SEARCH("☑",D14)),8,0)+IF(ISNUMBER(SEARCH("☑",D15)),8,0)+IF(ISNUMBER(SEARCH("☑",D16)),8,0)</x:f>
        <x:v>0</x:v>
      </x:c>
      <x:c r="E17" s="50" t="n">
        <x:f>IF(ISNUMBER(SEARCH("☑",E13)),8,0)+IF(ISNUMBER(SEARCH("☑",E14)),8,0)+IF(ISNUMBER(SEARCH("☑",E15)),8,0)+IF(ISNUMBER(SEARCH("☑",E16)),8,0)</x:f>
        <x:v>0</x:v>
      </x:c>
      <x:c r="F17"/>
    </x:row>
    <x:row r="18" ht="26.25" customHeight="1">
      <x:c r="A18"/>
      <x:c r="B18"/>
      <x:c r="C18"/>
      <x:c r="D18"/>
      <x:c r="E18"/>
      <x:c r="F18"/>
    </x:row>
    <x:row r="19" ht="26.25" customHeight="1">
      <x:c r="A19" s="58" t="n">
        <x:v>46188</x:v>
      </x:c>
      <x:c r="B19" s="58" t="n">
        <x:v>46189</x:v>
      </x:c>
      <x:c r="C19" s="58" t="n">
        <x:v>46190</x:v>
      </x:c>
      <x:c r="D19" s="58" t="n">
        <x:v>46191</x:v>
      </x:c>
      <x:c r="E19" s="58" t="n">
        <x:v>46192</x:v>
      </x:c>
      <x:c r="F19"/>
    </x:row>
    <x:row r="20" ht="26.25" customHeight="1">
      <x:c r="A20" s="38" t="str">
        <x:v>Kelvin: ☐</x:v>
      </x:c>
      <x:c r="B20" s="38" t="str">
        <x:v>Kelvin: ☑</x:v>
      </x:c>
      <x:c r="C20" s="38" t="str">
        <x:v>Kelvin: ☐</x:v>
      </x:c>
      <x:c r="D20" s="38" t="str">
        <x:v>Kelvin: ☑</x:v>
      </x:c>
      <x:c r="E20" s="38" t="str">
        <x:v>Kelvin: ☐</x:v>
      </x:c>
      <x:c r="F20"/>
    </x:row>
    <x:row r="21" ht="26.25" customHeight="1">
      <x:c r="A21" s="38" t="str">
        <x:v>Shirley: ☐</x:v>
      </x:c>
      <x:c r="B21" s="38" t="str">
        <x:v>Shirley: ☑</x:v>
      </x:c>
      <x:c r="C21" s="38" t="str">
        <x:v>Shirley: ☐</x:v>
      </x:c>
      <x:c r="D21" s="38" t="str">
        <x:v>Shirley: ☑</x:v>
      </x:c>
      <x:c r="E21" s="38" t="str">
        <x:v>Shirley: ☐</x:v>
      </x:c>
      <x:c r="F21"/>
    </x:row>
    <x:row r="22" ht="26.25" customHeight="1">
      <x:c r="A22" s="38" t="str">
        <x:v>Yarin: ☐</x:v>
      </x:c>
      <x:c r="B22" s="38" t="str">
        <x:v>Yarin: ☑</x:v>
      </x:c>
      <x:c r="C22" s="38" t="str">
        <x:v>Yarin: ☑</x:v>
      </x:c>
      <x:c r="D22" s="38" t="str">
        <x:v>Yarin: ☐</x:v>
      </x:c>
      <x:c r="E22" s="38" t="str">
        <x:v>Yarin: ☐</x:v>
      </x:c>
      <x:c r="F22"/>
    </x:row>
    <x:row r="23" ht="26.25" customHeight="1">
      <x:c r="A23" s="38" t="str">
        <x:f>IF('Summary'!$B$2="","Name pending: ☐",'Summary'!$B$2&amp;": ☐")</x:f>
        <x:v>Name pending: ☐</x:v>
      </x:c>
      <x:c r="B23" s="38" t="str">
        <x:f>IF('Summary'!$B$2="","Name pending: ☐",'Summary'!$B$2&amp;": ☐")</x:f>
        <x:v>Name pending: ☐</x:v>
      </x:c>
      <x:c r="C23" s="38" t="str">
        <x:f>IF('Summary'!$B$2="","Name pending: ☐",'Summary'!$B$2&amp;": ☐")</x:f>
        <x:v>Name pending: ☐</x:v>
      </x:c>
      <x:c r="D23" s="38" t="str">
        <x:f>IF('Summary'!$B$2="","Name pending: ☐",'Summary'!$B$2&amp;": ☐")</x:f>
        <x:v>Name pending: ☐</x:v>
      </x:c>
      <x:c r="E23" s="38" t="str">
        <x:f>IF('Summary'!$B$2="","Name pending: ☐",'Summary'!$B$2&amp;": ☐")</x:f>
        <x:v>Name pending: ☐</x:v>
      </x:c>
      <x:c r="F23"/>
    </x:row>
    <x:row r="24" ht="26.25" customHeight="1">
      <x:c r="A24" s="50" t="n">
        <x:f>IF(ISNUMBER(SEARCH("☑",A20)),8,0)+IF(ISNUMBER(SEARCH("☑",A21)),8,0)+IF(ISNUMBER(SEARCH("☑",A22)),8,0)+IF(ISNUMBER(SEARCH("☑",A23)),8,0)</x:f>
        <x:v>0</x:v>
      </x:c>
      <x:c r="B24" s="50" t="n">
        <x:f>IF(ISNUMBER(SEARCH("☑",B20)),8,0)+IF(ISNUMBER(SEARCH("☑",B21)),8,0)+IF(ISNUMBER(SEARCH("☑",B22)),8,0)+IF(ISNUMBER(SEARCH("☑",B23)),8,0)</x:f>
        <x:v>24</x:v>
      </x:c>
      <x:c r="C24" s="50" t="n">
        <x:f>IF(ISNUMBER(SEARCH("☑",C20)),8,0)+IF(ISNUMBER(SEARCH("☑",C21)),8,0)+IF(ISNUMBER(SEARCH("☑",C22)),8,0)+IF(ISNUMBER(SEARCH("☑",C23)),8,0)</x:f>
        <x:v>8</x:v>
      </x:c>
      <x:c r="D24" s="50" t="n">
        <x:f>IF(ISNUMBER(SEARCH("☑",D20)),8,0)+IF(ISNUMBER(SEARCH("☑",D21)),8,0)+IF(ISNUMBER(SEARCH("☑",D22)),8,0)+IF(ISNUMBER(SEARCH("☑",D23)),8,0)</x:f>
        <x:v>16</x:v>
      </x:c>
      <x:c r="E24" s="50" t="n">
        <x:f>IF(ISNUMBER(SEARCH("☑",E20)),8,0)+IF(ISNUMBER(SEARCH("☑",E21)),8,0)+IF(ISNUMBER(SEARCH("☑",E22)),8,0)+IF(ISNUMBER(SEARCH("☑",E23)),8,0)</x:f>
        <x:v>0</x:v>
      </x:c>
      <x:c r="F24"/>
    </x:row>
    <x:row r="25" ht="26.25" customHeight="1">
      <x:c r="A25"/>
      <x:c r="B25"/>
      <x:c r="C25"/>
      <x:c r="D25"/>
      <x:c r="E25"/>
      <x:c r="F25"/>
    </x:row>
    <x:row r="26" ht="26.25" customHeight="1">
      <x:c r="A26" s="58" t="n">
        <x:v>46195</x:v>
      </x:c>
      <x:c r="B26" s="58" t="n">
        <x:v>46196</x:v>
      </x:c>
      <x:c r="C26" s="58" t="n">
        <x:v>46197</x:v>
      </x:c>
      <x:c r="D26" s="58" t="n">
        <x:v>46198</x:v>
      </x:c>
      <x:c r="E26" s="58" t="n">
        <x:v>46199</x:v>
      </x:c>
      <x:c r="F26"/>
    </x:row>
    <x:row r="27" ht="26.25" customHeight="1">
      <x:c r="A27" s="38" t="str">
        <x:v>Kelvin: ☐</x:v>
      </x:c>
      <x:c r="B27" s="38" t="str">
        <x:v>Kelvin: ☑</x:v>
      </x:c>
      <x:c r="C27" s="38" t="str">
        <x:v>Kelvin: ☐</x:v>
      </x:c>
      <x:c r="D27" s="38" t="str">
        <x:v>Kelvin: ☑</x:v>
      </x:c>
      <x:c r="E27" s="38" t="str">
        <x:v>Kelvin: ☐</x:v>
      </x:c>
      <x:c r="F27"/>
    </x:row>
    <x:row r="28" ht="26.25" customHeight="1">
      <x:c r="A28" s="38" t="str">
        <x:v>Shirley: ☐</x:v>
      </x:c>
      <x:c r="B28" s="38" t="str">
        <x:v>Shirley: ☐</x:v>
      </x:c>
      <x:c r="C28" s="38" t="str">
        <x:v>Shirley: ☑</x:v>
      </x:c>
      <x:c r="D28" s="38" t="str">
        <x:v>Shirley: ☐</x:v>
      </x:c>
      <x:c r="E28" s="38" t="str">
        <x:v>Shirley: ☑</x:v>
      </x:c>
      <x:c r="F28"/>
    </x:row>
    <x:row r="29" ht="26.25" customHeight="1">
      <x:c r="A29" s="38" t="str">
        <x:v>Yarin: ☑</x:v>
      </x:c>
      <x:c r="B29" s="38" t="str">
        <x:v>Yarin: ☐</x:v>
      </x:c>
      <x:c r="C29" s="38" t="str">
        <x:v>Yarin: ☐</x:v>
      </x:c>
      <x:c r="D29" s="38" t="str">
        <x:v>Yarin: ☐</x:v>
      </x:c>
      <x:c r="E29" s="38" t="str">
        <x:v>Yarin: ☐</x:v>
      </x:c>
      <x:c r="F29"/>
    </x:row>
    <x:row r="30" ht="26.25" customHeight="1">
      <x:c r="A30" s="38" t="str">
        <x:f>IF('Summary'!$B$2="","Name pending: ☐",'Summary'!$B$2&amp;": ☐")</x:f>
        <x:v>Name pending: ☐</x:v>
      </x:c>
      <x:c r="B30" s="38" t="str">
        <x:f>IF('Summary'!$B$2="","Name pending: ☐",'Summary'!$B$2&amp;": ☐")</x:f>
        <x:v>Name pending: ☐</x:v>
      </x:c>
      <x:c r="C30" s="38" t="str">
        <x:f>IF('Summary'!$B$2="","Name pending: ☐",'Summary'!$B$2&amp;": ☐")</x:f>
        <x:v>Name pending: ☐</x:v>
      </x:c>
      <x:c r="D30" s="38" t="str">
        <x:f>IF('Summary'!$B$2="","Name pending: ☐",'Summary'!$B$2&amp;": ☐")</x:f>
        <x:v>Name pending: ☐</x:v>
      </x:c>
      <x:c r="E30" s="38" t="str">
        <x:f>IF('Summary'!$B$2="","Name pending: ☐",'Summary'!$B$2&amp;": ☐")</x:f>
        <x:v>Name pending: ☐</x:v>
      </x:c>
      <x:c r="F30"/>
    </x:row>
    <x:row r="31" ht="26.25" customHeight="1">
      <x:c r="A31" s="50" t="n">
        <x:f>IF(ISNUMBER(SEARCH("☑",A27)),8,0)+IF(ISNUMBER(SEARCH("☑",A28)),8,0)+IF(ISNUMBER(SEARCH("☑",A29)),8,0)+IF(ISNUMBER(SEARCH("☑",A30)),8,0)</x:f>
        <x:v>8</x:v>
      </x:c>
      <x:c r="B31" s="50" t="n">
        <x:f>IF(ISNUMBER(SEARCH("☑",B27)),8,0)+IF(ISNUMBER(SEARCH("☑",B28)),8,0)+IF(ISNUMBER(SEARCH("☑",B29)),8,0)+IF(ISNUMBER(SEARCH("☑",B30)),8,0)</x:f>
        <x:v>8</x:v>
      </x:c>
      <x:c r="C31" s="50" t="n">
        <x:f>IF(ISNUMBER(SEARCH("☑",C27)),8,0)+IF(ISNUMBER(SEARCH("☑",C28)),8,0)+IF(ISNUMBER(SEARCH("☑",C29)),8,0)+IF(ISNUMBER(SEARCH("☑",C30)),8,0)</x:f>
        <x:v>8</x:v>
      </x:c>
      <x:c r="D31" s="50" t="n">
        <x:f>IF(ISNUMBER(SEARCH("☑",D27)),8,0)+IF(ISNUMBER(SEARCH("☑",D28)),8,0)+IF(ISNUMBER(SEARCH("☑",D29)),8,0)+IF(ISNUMBER(SEARCH("☑",D30)),8,0)</x:f>
        <x:v>8</x:v>
      </x:c>
      <x:c r="E31" s="50" t="n">
        <x:f>IF(ISNUMBER(SEARCH("☑",E27)),8,0)+IF(ISNUMBER(SEARCH("☑",E28)),8,0)+IF(ISNUMBER(SEARCH("☑",E29)),8,0)+IF(ISNUMBER(SEARCH("☑",E30)),8,0)</x:f>
        <x:v>8</x:v>
      </x:c>
      <x:c r="F31"/>
    </x:row>
    <x:row r="32" ht="26.25" customHeight="1">
      <x:c r="A32"/>
      <x:c r="B32"/>
      <x:c r="C32"/>
      <x:c r="D32"/>
      <x:c r="E32"/>
      <x:c r="F32"/>
    </x:row>
    <x:row r="33" ht="26.25" customHeight="1">
      <x:c r="A33" s="58" t="n">
        <x:v>46202</x:v>
      </x:c>
      <x:c r="B33" s="58" t="n">
        <x:v>46203</x:v>
      </x:c>
      <x:c r="C33"/>
      <x:c r="D33"/>
      <x:c r="E33"/>
      <x:c r="F33"/>
    </x:row>
    <x:row r="34" ht="26.25" customHeight="1">
      <x:c r="A34" s="38" t="str">
        <x:v>Kelvin: ☑</x:v>
      </x:c>
      <x:c r="B34" s="38" t="str">
        <x:v>Kelvin: ☐</x:v>
      </x:c>
      <x:c r="C34"/>
      <x:c r="D34"/>
      <x:c r="E34"/>
      <x:c r="F34"/>
    </x:row>
    <x:row r="35" ht="26.25" customHeight="1">
      <x:c r="A35" s="38" t="str">
        <x:v>Shirley: ☐</x:v>
      </x:c>
      <x:c r="B35" s="38" t="str">
        <x:v>Shirley: ☑</x:v>
      </x:c>
      <x:c r="C35"/>
      <x:c r="D35"/>
      <x:c r="E35"/>
      <x:c r="F35"/>
    </x:row>
    <x:row r="36" ht="26.25" customHeight="1">
      <x:c r="A36" s="38" t="str">
        <x:v>Yarin: ☐</x:v>
      </x:c>
      <x:c r="B36" s="38" t="str">
        <x:v>Yarin: ☐</x:v>
      </x:c>
      <x:c r="C36"/>
      <x:c r="D36"/>
      <x:c r="E36"/>
      <x:c r="F36"/>
    </x:row>
    <x:row r="37" ht="26.25" customHeight="1">
      <x:c r="A37" s="38" t="str">
        <x:f>IF('Summary'!$B$2="","Name pending: ☐",'Summary'!$B$2&amp;": ☐")</x:f>
        <x:v>Name pending: ☐</x:v>
      </x:c>
      <x:c r="B37" s="38" t="str">
        <x:f>IF('Summary'!$B$2="","Name pending: ☐",'Summary'!$B$2&amp;": ☐")</x:f>
        <x:v>Name pending: ☐</x:v>
      </x:c>
      <x:c r="C37"/>
      <x:c r="D37"/>
      <x:c r="E37"/>
      <x:c r="F37"/>
    </x:row>
    <x:row r="38" ht="26.25" customHeight="1">
      <x:c r="A38" s="50" t="n">
        <x:f>IF(ISNUMBER(SEARCH("☑",A34)),8,0)+IF(ISNUMBER(SEARCH("☑",A35)),8,0)+IF(ISNUMBER(SEARCH("☑",A36)),8,0)+IF(ISNUMBER(SEARCH("☑",A37)),8,0)</x:f>
        <x:v>8</x:v>
      </x:c>
      <x:c r="B38" s="50" t="n">
        <x:f>IF(ISNUMBER(SEARCH("☑",B34)),8,0)+IF(ISNUMBER(SEARCH("☑",B35)),8,0)+IF(ISNUMBER(SEARCH("☑",B36)),8,0)+IF(ISNUMBER(SEARCH("☑",B37)),8,0)</x:f>
        <x:v>8</x:v>
      </x:c>
      <x:c r="C38"/>
      <x:c r="D38"/>
      <x:c r="E38"/>
      <x:c r="F38"/>
    </x:row>
    <x:row r="39" ht="26.25" customHeight="1">
      <x:c r="A39"/>
      <x:c r="B39"/>
      <x:c r="C39"/>
      <x:c r="D39"/>
      <x:c r="E39"/>
      <x:c r="F39"/>
    </x:row>
    <x:row r="40" ht="13.5" customHeight="1">
      <x:c r="A40"/>
      <x:c r="B40"/>
      <x:c r="C40"/>
      <x:c r="D40"/>
      <x:c r="E40"/>
      <x:c r="F40"/>
    </x:row>
    <x:row r="41" ht="13.5" customHeight="1">
      <x:c r="A41" t="str">
        <x:v>Note: Daily total row counts all people together; weekly summary checks each person separately against 17 hours.</x:v>
      </x:c>
      <x:c r="B41"/>
      <x:c r="C41"/>
      <x:c r="D41"/>
      <x:c r="E41"/>
      <x:c r="F41"/>
    </x:row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1:G1"/>
    <x:mergeCell ref="A2:G2"/>
    <x:mergeCell ref="A41:E41"/>
  </x:mergeCells>
  <x:conditionalFormatting sqref="A6:E37">
    <x:cfRule type="expression" dxfId="4" priority="1">
      <x:formula>ISNUMBER(SEARCH("☑",A6))</x:formula>
    </x:cfRule>
  </x:conditionalFormatting>
  <x:conditionalFormatting sqref="H5:J9">
    <x:cfRule type="cellIs" dxfId="5" priority="2" operator="greaterThan">
      <x:formula>17</x:formula>
    </x:cfRule>
  </x:conditionalFormatting>
  <x:conditionalFormatting sqref="K5:K9">
    <x:cfRule type="cellIs" dxfId="6" priority="3" operator="greaterThan">
      <x:formula>17</x:formula>
    </x:cfRule>
  </x:conditionalFormatting>
  <x:conditionalFormatting sqref="L5:L9">
    <x:cfRule type="expression" dxfId="7" priority="4">
      <x:formula>L5="Over 17 hours"</x:formula>
    </x:cfRule>
  </x:conditionalFormatting>
  <x:dataValidations count="20">
    <x:dataValidation type="list" allowBlank="1" showDropDown="0" sqref="A6:E6">
      <x:formula1>"Kelvin: ☐,Kelvin: ☑,Kelvin: X"</x:formula1>
    </x:dataValidation>
    <x:dataValidation type="list" allowBlank="1" showDropDown="0" sqref="A7:E7">
      <x:formula1>"Shirley: ☐,Shirley: ☑,Shirley: X"</x:formula1>
    </x:dataValidation>
    <x:dataValidation type="list" allowBlank="1" showDropDown="0" sqref="A8:E8">
      <x:formula1>"Yarin: ☐,Yarin: ☑,Yarin: X"</x:formula1>
    </x:dataValidation>
    <x:dataValidation type="list" sqref="A9:E9">
      <x:formula1>$M$2:$M$5</x:formula1>
    </x:dataValidation>
    <x:dataValidation type="list" allowBlank="1" showDropDown="0" sqref="A13:E13">
      <x:formula1>"Kelvin: ☐,Kelvin: ☑,Kelvin: X"</x:formula1>
    </x:dataValidation>
    <x:dataValidation type="list" allowBlank="1" showDropDown="0" sqref="A14:E14">
      <x:formula1>"Shirley: ☐,Shirley: ☑,Shirley: X"</x:formula1>
    </x:dataValidation>
    <x:dataValidation type="list" allowBlank="1" showDropDown="0" sqref="A15:E15">
      <x:formula1>"Yarin: ☐,Yarin: ☑,Yarin: X"</x:formula1>
    </x:dataValidation>
    <x:dataValidation type="list" sqref="A16:E16">
      <x:formula1>$M$2:$M$5</x:formula1>
    </x:dataValidation>
    <x:dataValidation type="list" allowBlank="1" showDropDown="0" sqref="A20:E20">
      <x:formula1>"Kelvin: ☐,Kelvin: ☑,Kelvin: X"</x:formula1>
    </x:dataValidation>
    <x:dataValidation type="list" allowBlank="1" showDropDown="0" sqref="A21:E21">
      <x:formula1>"Shirley: ☐,Shirley: ☑,Shirley: X"</x:formula1>
    </x:dataValidation>
    <x:dataValidation type="list" allowBlank="1" showDropDown="0" sqref="A22:E22">
      <x:formula1>"Yarin: ☐,Yarin: ☑,Yarin: X"</x:formula1>
    </x:dataValidation>
    <x:dataValidation type="list" sqref="A23:E23">
      <x:formula1>$M$2:$M$5</x:formula1>
    </x:dataValidation>
    <x:dataValidation type="list" allowBlank="1" showDropDown="0" sqref="A27:E27">
      <x:formula1>"Kelvin: ☐,Kelvin: ☑,Kelvin: X"</x:formula1>
    </x:dataValidation>
    <x:dataValidation type="list" allowBlank="1" showDropDown="0" sqref="A28:E28">
      <x:formula1>"Shirley: ☐,Shirley: ☑,Shirley: X"</x:formula1>
    </x:dataValidation>
    <x:dataValidation type="list" allowBlank="1" showDropDown="0" sqref="A29:E29">
      <x:formula1>"Yarin: ☐,Yarin: ☑,Yarin: X"</x:formula1>
    </x:dataValidation>
    <x:dataValidation type="list" sqref="A30:E30">
      <x:formula1>$M$2:$M$5</x:formula1>
    </x:dataValidation>
    <x:dataValidation type="list" allowBlank="1" showDropDown="0" sqref="A34:B34">
      <x:formula1>"Kelvin: ☐,Kelvin: ☑,Kelvin: X"</x:formula1>
    </x:dataValidation>
    <x:dataValidation type="list" allowBlank="1" showDropDown="0" sqref="A35:B35">
      <x:formula1>"Shirley: ☐,Shirley: ☑,Shirley: X"</x:formula1>
    </x:dataValidation>
    <x:dataValidation type="list" allowBlank="1" showDropDown="0" sqref="A36:B36">
      <x:formula1>"Yarin: ☐,Yarin: ☑,Yarin: X"</x:formula1>
    </x:dataValidation>
    <x:dataValidation type="list" sqref="A37:B37">
      <x:formula1>$M$2:$M$5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5" width="22" customWidth="1"/>
    <x:col min="6" max="6" width="3" customWidth="1"/>
    <x:col min="7" max="7" width="15" customWidth="1"/>
    <x:col min="8" max="10" width="13" customWidth="1"/>
    <x:col min="11" max="11" width="13" hidden="0" customWidth="1"/>
    <x:col min="12" max="12" width="8.880000114440918" customWidth="1"/>
    <x:col min="13" max="13" width="8.880000114440918" hidden="1" customWidth="1"/>
    <x:col min="14" max="26" width="8.880000114440918" customWidth="1"/>
    <x:col min="12" max="12" width="24" hidden="0" customWidth="1"/>
  </x:cols>
  <x:sheetData>
    <x:row r="1" ht="13.5" customHeight="1">
      <x:c r="A1" s="1" t="s">
        <x:v>24</x:v>
      </x:c>
      <x:c r="B1" s="2"/>
      <x:c r="C1" s="2"/>
      <x:c r="D1" s="2"/>
      <x:c r="E1" s="2"/>
      <x:c r="F1" s="2"/>
      <x:c r="G1" s="3"/>
    </x:row>
    <x:row r="2" ht="13.5" customHeight="1">
      <x:c r="A2" s="10" t="s">
        <x:v>9</x:v>
      </x:c>
      <x:c r="B2" s="2"/>
      <x:c r="C2" s="2"/>
      <x:c r="D2" s="2"/>
      <x:c r="E2" s="2"/>
      <x:c r="F2" s="2"/>
      <x:c r="G2" s="3"/>
      <x:c r="M2" s="39" t="str">
        <x:f>IF('Summary'!$B$2="","Name pending: ☐",'Summary'!$B$2&amp;": ☐")</x:f>
        <x:v>Name pending: ☐</x:v>
      </x:c>
    </x:row>
    <x:row r="3" ht="13.5" customHeight="1">
      <x:c r="M3" s="39" t="str">
        <x:f>IF('Summary'!$B$2="","Name pending: ☑ HHB",'Summary'!$B$2&amp;": ☑ HHB")</x:f>
        <x:v>Name pending: ☑ HHB</x:v>
      </x:c>
    </x:row>
    <x:row r="4" ht="13.5" customHeight="1">
      <x:c r="A4" s="6" t="s">
        <x:v>10</x:v>
      </x:c>
      <x:c r="B4" s="6" t="s">
        <x:v>11</x:v>
      </x:c>
      <x:c r="C4" s="6" t="s">
        <x:v>12</x:v>
      </x:c>
      <x:c r="D4" s="6" t="s">
        <x:v>13</x:v>
      </x:c>
      <x:c r="E4" s="6" t="s">
        <x:v>14</x:v>
      </x:c>
      <x:c r="G4" s="6" t="s">
        <x:v>4</x:v>
      </x:c>
      <x:c r="H4" s="6" t="s">
        <x:v>15</x:v>
      </x:c>
      <x:c r="I4" s="6" t="s">
        <x:v>16</x:v>
      </x:c>
      <x:c r="J4" s="6" t="s">
        <x:v>17</x:v>
      </x:c>
      <x:c r="K4" s="25" t="str">
        <x:f>IF('Summary'!$B$2="","New worker",'Summary'!$B$2)</x:f>
        <x:v>New worker</x:v>
      </x:c>
      <x:c r="L4" s="30" t="str">
        <x:v>Status</x:v>
      </x:c>
      <x:c r="M4" s="39" t="str">
        <x:f>IF('Summary'!$B$2="","Name pending: ☑ WFH",'Summary'!$B$2&amp;": ☑ WFH")</x:f>
        <x:v>Name pending: ☑ WFH</x:v>
      </x:c>
    </x:row>
    <x:row r="5" ht="26.25" customHeight="1">
      <x:c r="A5" s="59"/>
      <x:c r="B5" s="59"/>
      <x:c r="C5" s="63">
        <x:v>46204.0</x:v>
      </x:c>
      <x:c r="D5" s="42">
        <x:v>46205.0</x:v>
      </x:c>
      <x:c r="E5" s="42">
        <x:v>46206.0</x:v>
      </x:c>
      <x:c r="G5" s="8">
        <x:v>46202.0</x:v>
      </x:c>
      <x:c r="H5" s="9" t="n">
        <x:f>IF(ISNUMBER(SEARCH("☑",D6)),8,0)+IF(ISNUMBER(SEARCH("☑",E6)),8,0)</x:f>
        <x:v>8</x:v>
      </x:c>
      <x:c r="I5" s="9" t="n">
        <x:f>IF(ISNUMBER(SEARCH("☑",D7)),8,0)+IF(ISNUMBER(SEARCH("☑",E7)),8,0)</x:f>
        <x:v>8</x:v>
      </x:c>
      <x:c r="J5" s="9" t="n">
        <x:f>IF(ISNUMBER(SEARCH("☑",D8)),8,0)+IF(ISNUMBER(SEARCH("☑",E8)),8,0)</x:f>
        <x:v>8</x:v>
      </x:c>
      <x:c r="K5" s="33" t="n">
        <x:f t="shared" ref="K5:K9" si="1">IF(ISNUMBER(SEARCH("☑",D9)),8,0)+IF(ISNUMBER(SEARCH("☑",E9)),8,0)</x:f>
        <x:v>0</x:v>
      </x:c>
      <x:c r="L5" s="38" t="str">
        <x:f>IF(MAX(H5:J5,K5)&gt;17,"Over 17 hours","OK")</x:f>
        <x:v>OK</x:v>
      </x:c>
      <x:c r="M5" s="39" t="str">
        <x:f>IF('Summary'!$B$2="","Name pending: X",'Summary'!$B$2&amp;": X")</x:f>
        <x:v>Name pending: X</x:v>
      </x:c>
    </x:row>
    <x:row r="6" ht="26.25" customHeight="1">
      <x:c r="A6" s="17"/>
      <x:c r="B6" s="17"/>
      <x:c r="C6" s="72"/>
      <x:c r="D6" s="52" t="s">
        <x:v>18</x:v>
      </x:c>
      <x:c r="E6" s="52" t="s">
        <x:v>25</x:v>
      </x:c>
      <x:c r="G6" s="8">
        <x:v>46209.0</x:v>
      </x:c>
      <x:c r="H6" s="9" t="n">
        <x:f>IF(ISNUMBER(SEARCH("☑",A13)),8,0)+IF(ISNUMBER(SEARCH("☑",B13)),8,0)+IF(ISNUMBER(SEARCH("☑",C13)),8,0)+IF(ISNUMBER(SEARCH("☑",D13)),8,0)+IF(ISNUMBER(SEARCH("☑",E13)),8,0)</x:f>
        <x:v>16</x:v>
      </x:c>
      <x:c r="I6" s="9" t="n">
        <x:f>IF(ISNUMBER(SEARCH("☑",A14)),8,0)+IF(ISNUMBER(SEARCH("☑",B14)),8,0)+IF(ISNUMBER(SEARCH("☑",C14)),8,0)+IF(ISNUMBER(SEARCH("☑",D14)),8,0)+IF(ISNUMBER(SEARCH("☑",E14)),8,0)</x:f>
        <x:v>16</x:v>
      </x:c>
      <x:c r="J6" s="9" t="n">
        <x:f>IF(ISNUMBER(SEARCH("☑",A15)),8,0)+IF(ISNUMBER(SEARCH("☑",B15)),8,0)+IF(ISNUMBER(SEARCH("☑",C15)),8,0)+IF(ISNUMBER(SEARCH("☑",D15)),8,0)+IF(ISNUMBER(SEARCH("☑",E15)),8,0)</x:f>
        <x:v>8</x:v>
      </x:c>
      <x:c r="K6" s="33" t="n">
        <x:f t="shared" si="1">IF(ISNUMBER(SEARCH("☑",A16)),8,0)+IF(ISNUMBER(SEARCH("☑",B16)),8,0)+IF(ISNUMBER(SEARCH("☑",C16)),8,0)+IF(ISNUMBER(SEARCH("☑",D16)),8,0)+IF(ISNUMBER(SEARCH("☑",E16)),8,0)</x:f>
        <x:v>0</x:v>
      </x:c>
      <x:c r="L6" s="38" t="str">
        <x:f>IF(MAX(H6:J6,K6)&gt;17,"Over 17 hours","OK")</x:f>
        <x:v>OK</x:v>
      </x:c>
    </x:row>
    <x:row r="7" ht="26.25" customHeight="1">
      <x:c r="A7" s="17"/>
      <x:c r="B7" s="17"/>
      <x:c r="C7" s="72"/>
      <x:c r="D7" s="52" t="s">
        <x:v>20</x:v>
      </x:c>
      <x:c r="E7" s="52" t="s">
        <x:v>26</x:v>
      </x:c>
      <x:c r="G7" s="8">
        <x:v>46216.0</x:v>
      </x:c>
      <x:c r="H7" s="9" t="n">
        <x:f>IF(ISNUMBER(SEARCH("☑",A20)),8,0)+IF(ISNUMBER(SEARCH("☑",B20)),8,0)+IF(ISNUMBER(SEARCH("☑",C20)),8,0)+IF(ISNUMBER(SEARCH("☑",D20)),8,0)+IF(ISNUMBER(SEARCH("☑",E20)),8,0)</x:f>
        <x:v>16</x:v>
      </x:c>
      <x:c r="I7" s="9" t="n">
        <x:f>IF(ISNUMBER(SEARCH("☑",A21)),8,0)+IF(ISNUMBER(SEARCH("☑",B21)),8,0)+IF(ISNUMBER(SEARCH("☑",C21)),8,0)+IF(ISNUMBER(SEARCH("☑",D21)),8,0)+IF(ISNUMBER(SEARCH("☑",E21)),8,0)</x:f>
        <x:v>16</x:v>
      </x:c>
      <x:c r="J7" s="9" t="n">
        <x:f>IF(ISNUMBER(SEARCH("☑",A22)),8,0)+IF(ISNUMBER(SEARCH("☑",B22)),8,0)+IF(ISNUMBER(SEARCH("☑",C22)),8,0)+IF(ISNUMBER(SEARCH("☑",D22)),8,0)+IF(ISNUMBER(SEARCH("☑",E22)),8,0)</x:f>
        <x:v>8</x:v>
      </x:c>
      <x:c r="K7" s="33" t="n">
        <x:f t="shared" si="1">IF(ISNUMBER(SEARCH("☑",A23)),8,0)+IF(ISNUMBER(SEARCH("☑",B23)),8,0)+IF(ISNUMBER(SEARCH("☑",C23)),8,0)+IF(ISNUMBER(SEARCH("☑",D23)),8,0)+IF(ISNUMBER(SEARCH("☑",E23)),8,0)</x:f>
        <x:v>0</x:v>
      </x:c>
      <x:c r="L7" s="38" t="str">
        <x:f>IF(MAX(H7:J7,K7)&gt;17,"Over 17 hours","OK")</x:f>
        <x:v>OK</x:v>
      </x:c>
    </x:row>
    <x:row r="8" ht="26.25" customHeight="1">
      <x:c r="A8" s="17"/>
      <x:c r="B8" s="17"/>
      <x:c r="C8" s="73"/>
      <x:c r="D8" s="52" t="s">
        <x:v>27</x:v>
      </x:c>
      <x:c r="E8" s="52" t="s">
        <x:v>22</x:v>
      </x:c>
      <x:c r="G8" s="8">
        <x:v>46223.0</x:v>
      </x:c>
      <x:c r="H8" s="9" t="n">
        <x:f>IF(ISNUMBER(SEARCH("☑",A27)),8,0)+IF(ISNUMBER(SEARCH("☑",B27)),8,0)+IF(ISNUMBER(SEARCH("☑",C27)),8,0)+IF(ISNUMBER(SEARCH("☑",D27)),8,0)+IF(ISNUMBER(SEARCH("☑",E27)),8,0)</x:f>
        <x:v>16</x:v>
      </x:c>
      <x:c r="I8" s="9" t="n">
        <x:f>IF(ISNUMBER(SEARCH("☑",A28)),8,0)+IF(ISNUMBER(SEARCH("☑",B28)),8,0)+IF(ISNUMBER(SEARCH("☑",C28)),8,0)+IF(ISNUMBER(SEARCH("☑",D28)),8,0)+IF(ISNUMBER(SEARCH("☑",E28)),8,0)</x:f>
        <x:v>16</x:v>
      </x:c>
      <x:c r="J8" s="9" t="n">
        <x:f>IF(ISNUMBER(SEARCH("☑",A29)),8,0)+IF(ISNUMBER(SEARCH("☑",B29)),8,0)+IF(ISNUMBER(SEARCH("☑",C29)),8,0)+IF(ISNUMBER(SEARCH("☑",D29)),8,0)+IF(ISNUMBER(SEARCH("☑",E29)),8,0)</x:f>
        <x:v>8</x:v>
      </x:c>
      <x:c r="K8" s="33" t="n">
        <x:f t="shared" si="1">IF(ISNUMBER(SEARCH("☑",A30)),8,0)+IF(ISNUMBER(SEARCH("☑",B30)),8,0)+IF(ISNUMBER(SEARCH("☑",C30)),8,0)+IF(ISNUMBER(SEARCH("☑",D30)),8,0)+IF(ISNUMBER(SEARCH("☑",E30)),8,0)</x:f>
        <x:v>0</x:v>
      </x:c>
      <x:c r="L8" s="38" t="str">
        <x:f>IF(MAX(H8:J8,K8)&gt;17,"Over 17 hours","OK")</x:f>
        <x:v>OK</x:v>
      </x:c>
    </x:row>
    <x:row r="9" ht="26.25" customHeight="1">
      <x:c r="A9" s="59"/>
      <x:c r="B9" s="59"/>
      <x:c r="C9" s="74"/>
      <x:c r="D9" s="44" t="str">
        <x:f t="shared" si="2">IF('Summary'!$B$2="","Name pending: ☐",'Summary'!$B$2&amp;": ☐")</x:f>
        <x:v>Name pending: ☐</x:v>
      </x:c>
      <x:c r="E9" s="44" t="str">
        <x:f t="shared" si="2">IF('Summary'!$B$2="","Name pending: ☐",'Summary'!$B$2&amp;": ☐")</x:f>
        <x:v>Name pending: ☐</x:v>
      </x:c>
      <x:c r="F9"/>
      <x:c r="G9" s="8">
        <x:v>46230.0</x:v>
      </x:c>
      <x:c r="H9" s="9" t="n">
        <x:f>IF(ISNUMBER(SEARCH("☑",A34)),8,0)+IF(ISNUMBER(SEARCH("☑",B34)),8,0)+IF(ISNUMBER(SEARCH("☑",C34)),8,0)+IF(ISNUMBER(SEARCH("☑",D34)),8,0)+IF(ISNUMBER(SEARCH("☑",E34)),8,0)</x:f>
        <x:v>0</x:v>
      </x:c>
      <x:c r="I9" s="9" t="n">
        <x:f>IF(ISNUMBER(SEARCH("☑",A35)),8,0)+IF(ISNUMBER(SEARCH("☑",B35)),8,0)+IF(ISNUMBER(SEARCH("☑",C35)),8,0)+IF(ISNUMBER(SEARCH("☑",D35)),8,0)+IF(ISNUMBER(SEARCH("☑",E35)),8,0)</x:f>
        <x:v>0</x:v>
      </x:c>
      <x:c r="J9" s="9" t="n">
        <x:f>IF(ISNUMBER(SEARCH("☑",A36)),8,0)+IF(ISNUMBER(SEARCH("☑",B36)),8,0)+IF(ISNUMBER(SEARCH("☑",C36)),8,0)+IF(ISNUMBER(SEARCH("☑",D36)),8,0)+IF(ISNUMBER(SEARCH("☑",E36)),8,0)</x:f>
        <x:v>0</x:v>
      </x:c>
      <x:c r="K9" s="33" t="n">
        <x:f t="shared" si="1">IF(ISNUMBER(SEARCH("☑",A37)),8,0)+IF(ISNUMBER(SEARCH("☑",B37)),8,0)+IF(ISNUMBER(SEARCH("☑",C37)),8,0)+IF(ISNUMBER(SEARCH("☑",D37)),8,0)+IF(ISNUMBER(SEARCH("☑",E37)),8,0)</x:f>
        <x:v>0</x:v>
      </x:c>
      <x:c r="L9" s="38" t="str">
        <x:f>IF(MAX(H9:J9,K9)&gt;17,"Over 17 hours","OK")</x:f>
        <x:v>OK</x:v>
      </x:c>
    </x:row>
    <x:row r="10" ht="26.25" customHeight="1">
      <x:c r="A10"/>
      <x:c r="B10"/>
      <x:c r="C10" s="50" t="n">
        <x:f>IF(ISNUMBER(SEARCH("☑",C6)),8,0)+IF(ISNUMBER(SEARCH("☑",C7)),8,0)+IF(ISNUMBER(SEARCH("☑",C8)),8,0)+IF(ISNUMBER(SEARCH("☑",C9)),8,0)</x:f>
        <x:v>0</x:v>
      </x:c>
      <x:c r="D10" s="50" t="n">
        <x:f>IF(ISNUMBER(SEARCH("☑",D6)),8,0)+IF(ISNUMBER(SEARCH("☑",D7)),8,0)+IF(ISNUMBER(SEARCH("☑",D8)),8,0)+IF(ISNUMBER(SEARCH("☑",D9)),8,0)</x:f>
        <x:v>8</x:v>
      </x:c>
      <x:c r="E10" s="50" t="n">
        <x:f>IF(ISNUMBER(SEARCH("☑",E6)),8,0)+IF(ISNUMBER(SEARCH("☑",E7)),8,0)+IF(ISNUMBER(SEARCH("☑",E8)),8,0)+IF(ISNUMBER(SEARCH("☑",E9)),8,0)</x:f>
        <x:v>16</x:v>
      </x:c>
      <x:c r="F10"/>
    </x:row>
    <x:row r="11" ht="26.25" customHeight="1">
      <x:c r="A11"/>
      <x:c r="B11"/>
      <x:c r="C11"/>
      <x:c r="D11"/>
      <x:c r="E11"/>
      <x:c r="F11"/>
    </x:row>
    <x:row r="12" ht="26.25" customHeight="1">
      <x:c r="A12" s="58" t="n">
        <x:v>46209</x:v>
      </x:c>
      <x:c r="B12" s="58" t="n">
        <x:v>46210</x:v>
      </x:c>
      <x:c r="C12" s="58" t="n">
        <x:v>46211</x:v>
      </x:c>
      <x:c r="D12" s="58" t="n">
        <x:v>46212</x:v>
      </x:c>
      <x:c r="E12" s="58" t="n">
        <x:v>46213</x:v>
      </x:c>
      <x:c r="F12"/>
    </x:row>
    <x:row r="13" ht="26.25" customHeight="1">
      <x:c r="A13" s="38" t="str">
        <x:v>Kelvin: ☑</x:v>
      </x:c>
      <x:c r="B13" s="38" t="str">
        <x:v>Kelvin: ☐</x:v>
      </x:c>
      <x:c r="C13" s="38" t="str">
        <x:v>Kelvin: ☑</x:v>
      </x:c>
      <x:c r="D13" s="38" t="str">
        <x:v>Kelvin: ☐</x:v>
      </x:c>
      <x:c r="E13" s="38" t="str">
        <x:v>Kelvin: ☐</x:v>
      </x:c>
      <x:c r="F13"/>
    </x:row>
    <x:row r="14" ht="26.25" customHeight="1">
      <x:c r="A14" s="38" t="str">
        <x:v>Shirley: ☐</x:v>
      </x:c>
      <x:c r="B14" s="38" t="str">
        <x:v>Shirley: ☑</x:v>
      </x:c>
      <x:c r="C14" s="38" t="str">
        <x:v>Shirley: ☐</x:v>
      </x:c>
      <x:c r="D14" s="38" t="str">
        <x:v>Shirley: ☐</x:v>
      </x:c>
      <x:c r="E14" s="38" t="str">
        <x:v>Shirley: ☑</x:v>
      </x:c>
      <x:c r="F14"/>
    </x:row>
    <x:row r="15" ht="26.25" customHeight="1">
      <x:c r="A15" s="38" t="str">
        <x:v>Yarin: ☐</x:v>
      </x:c>
      <x:c r="B15" s="38" t="str">
        <x:v>Yarin: ☐</x:v>
      </x:c>
      <x:c r="C15" s="38" t="str">
        <x:v>Yarin: ☐</x:v>
      </x:c>
      <x:c r="D15" s="38" t="str">
        <x:v>Yarin: ☑</x:v>
      </x:c>
      <x:c r="E15" s="38" t="str">
        <x:v>Yarin: ☐</x:v>
      </x:c>
      <x:c r="F15"/>
    </x:row>
    <x:row r="16" ht="26.25" customHeight="1">
      <x:c r="A16" s="38" t="str">
        <x:f>IF('Summary'!$B$2="","Name pending: ☐",'Summary'!$B$2&amp;": ☐")</x:f>
        <x:v>Name pending: ☐</x:v>
      </x:c>
      <x:c r="B16" s="38" t="str">
        <x:f>IF('Summary'!$B$2="","Name pending: ☐",'Summary'!$B$2&amp;": ☐")</x:f>
        <x:v>Name pending: ☐</x:v>
      </x:c>
      <x:c r="C16" s="38" t="str">
        <x:f>IF('Summary'!$B$2="","Name pending: ☐",'Summary'!$B$2&amp;": ☐")</x:f>
        <x:v>Name pending: ☐</x:v>
      </x:c>
      <x:c r="D16" s="38" t="str">
        <x:f>IF('Summary'!$B$2="","Name pending: ☐",'Summary'!$B$2&amp;": ☐")</x:f>
        <x:v>Name pending: ☐</x:v>
      </x:c>
      <x:c r="E16" s="38" t="str">
        <x:f>IF('Summary'!$B$2="","Name pending: ☐",'Summary'!$B$2&amp;": ☐")</x:f>
        <x:v>Name pending: ☐</x:v>
      </x:c>
      <x:c r="F16"/>
    </x:row>
    <x:row r="17" ht="26.25" customHeight="1">
      <x:c r="A17" s="50" t="n">
        <x:f>IF(ISNUMBER(SEARCH("☑",A13)),8,0)+IF(ISNUMBER(SEARCH("☑",A14)),8,0)+IF(ISNUMBER(SEARCH("☑",A15)),8,0)+IF(ISNUMBER(SEARCH("☑",A16)),8,0)</x:f>
        <x:v>8</x:v>
      </x:c>
      <x:c r="B17" s="50" t="n">
        <x:f>IF(ISNUMBER(SEARCH("☑",B13)),8,0)+IF(ISNUMBER(SEARCH("☑",B14)),8,0)+IF(ISNUMBER(SEARCH("☑",B15)),8,0)+IF(ISNUMBER(SEARCH("☑",B16)),8,0)</x:f>
        <x:v>8</x:v>
      </x:c>
      <x:c r="C17" s="50" t="n">
        <x:f>IF(ISNUMBER(SEARCH("☑",C13)),8,0)+IF(ISNUMBER(SEARCH("☑",C14)),8,0)+IF(ISNUMBER(SEARCH("☑",C15)),8,0)+IF(ISNUMBER(SEARCH("☑",C16)),8,0)</x:f>
        <x:v>8</x:v>
      </x:c>
      <x:c r="D17" s="50" t="n">
        <x:f>IF(ISNUMBER(SEARCH("☑",D13)),8,0)+IF(ISNUMBER(SEARCH("☑",D14)),8,0)+IF(ISNUMBER(SEARCH("☑",D15)),8,0)+IF(ISNUMBER(SEARCH("☑",D16)),8,0)</x:f>
        <x:v>8</x:v>
      </x:c>
      <x:c r="E17" s="50" t="n">
        <x:f>IF(ISNUMBER(SEARCH("☑",E13)),8,0)+IF(ISNUMBER(SEARCH("☑",E14)),8,0)+IF(ISNUMBER(SEARCH("☑",E15)),8,0)+IF(ISNUMBER(SEARCH("☑",E16)),8,0)</x:f>
        <x:v>8</x:v>
      </x:c>
      <x:c r="F17"/>
    </x:row>
    <x:row r="18" ht="26.25" customHeight="1">
      <x:c r="A18"/>
      <x:c r="B18"/>
      <x:c r="C18"/>
      <x:c r="D18"/>
      <x:c r="E18"/>
      <x:c r="F18"/>
    </x:row>
    <x:row r="19" ht="26.25" customHeight="1">
      <x:c r="A19" s="58" t="n">
        <x:v>46216</x:v>
      </x:c>
      <x:c r="B19" s="58" t="n">
        <x:v>46217</x:v>
      </x:c>
      <x:c r="C19" s="58" t="n">
        <x:v>46218</x:v>
      </x:c>
      <x:c r="D19" s="58" t="n">
        <x:v>46219</x:v>
      </x:c>
      <x:c r="E19" s="58" t="n">
        <x:v>46220</x:v>
      </x:c>
      <x:c r="F19"/>
    </x:row>
    <x:row r="20" ht="26.25" customHeight="1">
      <x:c r="A20" s="38" t="str">
        <x:v>Kelvin: ☐</x:v>
      </x:c>
      <x:c r="B20" s="38" t="str">
        <x:v>Kelvin: ☑</x:v>
      </x:c>
      <x:c r="C20" s="38" t="str">
        <x:v>Kelvin: ☑</x:v>
      </x:c>
      <x:c r="D20" s="38" t="str">
        <x:v>Kelvin: ☐</x:v>
      </x:c>
      <x:c r="E20" s="38" t="str">
        <x:v>Kelvin: ☐</x:v>
      </x:c>
      <x:c r="F20"/>
    </x:row>
    <x:row r="21" ht="26.25" customHeight="1">
      <x:c r="A21" s="38" t="str">
        <x:v>Shirley: ☑</x:v>
      </x:c>
      <x:c r="B21" s="38" t="str">
        <x:v>Shirley: X</x:v>
      </x:c>
      <x:c r="C21" s="38" t="str">
        <x:v>Shirley: X</x:v>
      </x:c>
      <x:c r="D21" s="38" t="str">
        <x:v>Shirley: ☐</x:v>
      </x:c>
      <x:c r="E21" s="38" t="str">
        <x:v>Shirley: ☑</x:v>
      </x:c>
      <x:c r="F21"/>
    </x:row>
    <x:row r="22" ht="26.25" customHeight="1">
      <x:c r="A22" s="38" t="str">
        <x:v>Yarin: ☐</x:v>
      </x:c>
      <x:c r="B22" s="38" t="str">
        <x:v>Yarin: ☐</x:v>
      </x:c>
      <x:c r="C22" s="38" t="str">
        <x:v>Yarin: ☐</x:v>
      </x:c>
      <x:c r="D22" s="38" t="str">
        <x:v>Yarin: ☑</x:v>
      </x:c>
      <x:c r="E22" s="38" t="str">
        <x:v>Yarin: X</x:v>
      </x:c>
      <x:c r="F22"/>
    </x:row>
    <x:row r="23" ht="26.25" customHeight="1">
      <x:c r="A23" s="38" t="str">
        <x:f>IF('Summary'!$B$2="","Name pending: ☐",'Summary'!$B$2&amp;": ☐")</x:f>
        <x:v>Name pending: ☐</x:v>
      </x:c>
      <x:c r="B23" s="38" t="str">
        <x:f>IF('Summary'!$B$2="","Name pending: ☐",'Summary'!$B$2&amp;": ☐")</x:f>
        <x:v>Name pending: ☐</x:v>
      </x:c>
      <x:c r="C23" s="38" t="str">
        <x:f>IF('Summary'!$B$2="","Name pending: ☐",'Summary'!$B$2&amp;": ☐")</x:f>
        <x:v>Name pending: ☐</x:v>
      </x:c>
      <x:c r="D23" s="38" t="str">
        <x:f>IF('Summary'!$B$2="","Name pending: ☐",'Summary'!$B$2&amp;": ☐")</x:f>
        <x:v>Name pending: ☐</x:v>
      </x:c>
      <x:c r="E23" s="38" t="str">
        <x:f>IF('Summary'!$B$2="","Name pending: ☐",'Summary'!$B$2&amp;": ☐")</x:f>
        <x:v>Name pending: ☐</x:v>
      </x:c>
      <x:c r="F23"/>
    </x:row>
    <x:row r="24" ht="26.25" customHeight="1">
      <x:c r="A24" s="50" t="n">
        <x:f>IF(ISNUMBER(SEARCH("☑",A20)),8,0)+IF(ISNUMBER(SEARCH("☑",A21)),8,0)+IF(ISNUMBER(SEARCH("☑",A22)),8,0)+IF(ISNUMBER(SEARCH("☑",A23)),8,0)</x:f>
        <x:v>8</x:v>
      </x:c>
      <x:c r="B24" s="50" t="n">
        <x:f>IF(ISNUMBER(SEARCH("☑",B20)),8,0)+IF(ISNUMBER(SEARCH("☑",B21)),8,0)+IF(ISNUMBER(SEARCH("☑",B22)),8,0)+IF(ISNUMBER(SEARCH("☑",B23)),8,0)</x:f>
        <x:v>8</x:v>
      </x:c>
      <x:c r="C24" s="50" t="n">
        <x:f>IF(ISNUMBER(SEARCH("☑",C20)),8,0)+IF(ISNUMBER(SEARCH("☑",C21)),8,0)+IF(ISNUMBER(SEARCH("☑",C22)),8,0)+IF(ISNUMBER(SEARCH("☑",C23)),8,0)</x:f>
        <x:v>8</x:v>
      </x:c>
      <x:c r="D24" s="50" t="n">
        <x:f>IF(ISNUMBER(SEARCH("☑",D20)),8,0)+IF(ISNUMBER(SEARCH("☑",D21)),8,0)+IF(ISNUMBER(SEARCH("☑",D22)),8,0)+IF(ISNUMBER(SEARCH("☑",D23)),8,0)</x:f>
        <x:v>8</x:v>
      </x:c>
      <x:c r="E24" s="50" t="n">
        <x:f>IF(ISNUMBER(SEARCH("☑",E20)),8,0)+IF(ISNUMBER(SEARCH("☑",E21)),8,0)+IF(ISNUMBER(SEARCH("☑",E22)),8,0)+IF(ISNUMBER(SEARCH("☑",E23)),8,0)</x:f>
        <x:v>8</x:v>
      </x:c>
      <x:c r="F24"/>
    </x:row>
    <x:row r="25" ht="26.25" customHeight="1">
      <x:c r="A25"/>
      <x:c r="B25"/>
      <x:c r="C25"/>
      <x:c r="D25"/>
      <x:c r="E25"/>
      <x:c r="F25"/>
    </x:row>
    <x:row r="26" ht="26.25" customHeight="1">
      <x:c r="A26" s="58" t="n">
        <x:v>46223</x:v>
      </x:c>
      <x:c r="B26" s="58" t="n">
        <x:v>46224</x:v>
      </x:c>
      <x:c r="C26" s="58" t="n">
        <x:v>46225</x:v>
      </x:c>
      <x:c r="D26" s="58" t="n">
        <x:v>46226</x:v>
      </x:c>
      <x:c r="E26" s="58" t="n">
        <x:v>46227</x:v>
      </x:c>
      <x:c r="F26"/>
    </x:row>
    <x:row r="27" ht="26.25" customHeight="1">
      <x:c r="A27" s="38" t="str">
        <x:v>Kelvin: ☐</x:v>
      </x:c>
      <x:c r="B27" s="38" t="str">
        <x:v>Kelvin: ☑</x:v>
      </x:c>
      <x:c r="C27" s="38" t="str">
        <x:v>Kelvin: ☐</x:v>
      </x:c>
      <x:c r="D27" s="38" t="str">
        <x:v>Kelvin: ☑</x:v>
      </x:c>
      <x:c r="E27" s="38" t="str">
        <x:v>Kelvin: ☐</x:v>
      </x:c>
      <x:c r="F27"/>
    </x:row>
    <x:row r="28" ht="26.25" customHeight="1">
      <x:c r="A28" s="38" t="str">
        <x:v>Shirley: ☑</x:v>
      </x:c>
      <x:c r="B28" s="38" t="str">
        <x:v>Shirley: ☐</x:v>
      </x:c>
      <x:c r="C28" s="38" t="str">
        <x:v>Shirley: ☑</x:v>
      </x:c>
      <x:c r="D28" s="38" t="str">
        <x:v>Shirley: ☐</x:v>
      </x:c>
      <x:c r="E28" s="38" t="str">
        <x:v>Shirley: ☐</x:v>
      </x:c>
      <x:c r="F28"/>
    </x:row>
    <x:row r="29" ht="26.25" customHeight="1">
      <x:c r="A29" s="38" t="str">
        <x:v>Yarin: X(Out of HK for tournament)</x:v>
      </x:c>
      <x:c r="B29" s="38" t="str">
        <x:v>Yarin: X (Out of HK for tournament)</x:v>
      </x:c>
      <x:c r="C29" s="38" t="str">
        <x:v>Yarin: X ((Out of HK for tournament)K)</x:v>
      </x:c>
      <x:c r="D29" s="38" t="str">
        <x:v>Yarin: X (Out of HK for tournament)</x:v>
      </x:c>
      <x:c r="E29" s="38" t="str">
        <x:v>Yarin: ☑</x:v>
      </x:c>
      <x:c r="F29"/>
    </x:row>
    <x:row r="30" ht="26.25" customHeight="1">
      <x:c r="A30" s="38" t="str">
        <x:f>IF('Summary'!$B$2="","Name pending: ☐",'Summary'!$B$2&amp;": ☐")</x:f>
        <x:v>Name pending: ☐</x:v>
      </x:c>
      <x:c r="B30" s="38" t="str">
        <x:f>IF('Summary'!$B$2="","Name pending: ☐",'Summary'!$B$2&amp;": ☐")</x:f>
        <x:v>Name pending: ☐</x:v>
      </x:c>
      <x:c r="C30" s="38" t="str">
        <x:f>IF('Summary'!$B$2="","Name pending: ☐",'Summary'!$B$2&amp;": ☐")</x:f>
        <x:v>Name pending: ☐</x:v>
      </x:c>
      <x:c r="D30" s="38" t="str">
        <x:f>IF('Summary'!$B$2="","Name pending: ☐",'Summary'!$B$2&amp;": ☐")</x:f>
        <x:v>Name pending: ☐</x:v>
      </x:c>
      <x:c r="E30" s="38" t="str">
        <x:f>IF('Summary'!$B$2="","Name pending: ☐",'Summary'!$B$2&amp;": ☐")</x:f>
        <x:v>Name pending: ☐</x:v>
      </x:c>
      <x:c r="F30"/>
    </x:row>
    <x:row r="31" ht="26.25" customHeight="1">
      <x:c r="A31" s="50" t="n">
        <x:f>IF(ISNUMBER(SEARCH("☑",A27)),8,0)+IF(ISNUMBER(SEARCH("☑",A28)),8,0)+IF(ISNUMBER(SEARCH("☑",A29)),8,0)+IF(ISNUMBER(SEARCH("☑",A30)),8,0)</x:f>
        <x:v>8</x:v>
      </x:c>
      <x:c r="B31" s="50" t="n">
        <x:f>IF(ISNUMBER(SEARCH("☑",B27)),8,0)+IF(ISNUMBER(SEARCH("☑",B28)),8,0)+IF(ISNUMBER(SEARCH("☑",B29)),8,0)+IF(ISNUMBER(SEARCH("☑",B30)),8,0)</x:f>
        <x:v>8</x:v>
      </x:c>
      <x:c r="C31" s="50" t="n">
        <x:f>IF(ISNUMBER(SEARCH("☑",C27)),8,0)+IF(ISNUMBER(SEARCH("☑",C28)),8,0)+IF(ISNUMBER(SEARCH("☑",C29)),8,0)+IF(ISNUMBER(SEARCH("☑",C30)),8,0)</x:f>
        <x:v>8</x:v>
      </x:c>
      <x:c r="D31" s="50" t="n">
        <x:f>IF(ISNUMBER(SEARCH("☑",D27)),8,0)+IF(ISNUMBER(SEARCH("☑",D28)),8,0)+IF(ISNUMBER(SEARCH("☑",D29)),8,0)+IF(ISNUMBER(SEARCH("☑",D30)),8,0)</x:f>
        <x:v>8</x:v>
      </x:c>
      <x:c r="E31" s="50" t="n">
        <x:f>IF(ISNUMBER(SEARCH("☑",E27)),8,0)+IF(ISNUMBER(SEARCH("☑",E28)),8,0)+IF(ISNUMBER(SEARCH("☑",E29)),8,0)+IF(ISNUMBER(SEARCH("☑",E30)),8,0)</x:f>
        <x:v>8</x:v>
      </x:c>
      <x:c r="F31"/>
    </x:row>
    <x:row r="32" ht="26.25" customHeight="1">
      <x:c r="A32"/>
      <x:c r="B32"/>
      <x:c r="C32"/>
      <x:c r="D32"/>
      <x:c r="E32"/>
      <x:c r="F32"/>
    </x:row>
    <x:row r="33" ht="26.25" customHeight="1">
      <x:c r="A33" s="58" t="n">
        <x:v>46230</x:v>
      </x:c>
      <x:c r="B33" s="58" t="n">
        <x:v>46231</x:v>
      </x:c>
      <x:c r="C33" s="58" t="n">
        <x:v>46232</x:v>
      </x:c>
      <x:c r="D33" s="58" t="n">
        <x:v>46233</x:v>
      </x:c>
      <x:c r="E33" s="58" t="n">
        <x:v>46234</x:v>
      </x:c>
      <x:c r="F33"/>
    </x:row>
    <x:row r="34" ht="26.25" customHeight="1">
      <x:c r="A34" s="38" t="str">
        <x:v>Kelvin: ☐</x:v>
      </x:c>
      <x:c r="B34" s="38" t="str">
        <x:v>Kelvin: ☐</x:v>
      </x:c>
      <x:c r="C34" s="38" t="str">
        <x:v>Kelvin: ☐</x:v>
      </x:c>
      <x:c r="D34" s="38" t="str">
        <x:v>Kelvin: ☐</x:v>
      </x:c>
      <x:c r="E34" s="38" t="str">
        <x:v>Kelvin: ☐</x:v>
      </x:c>
      <x:c r="F34"/>
    </x:row>
    <x:row r="35" ht="26.25" customHeight="1">
      <x:c r="A35" s="38" t="str">
        <x:v>Shirley: ☐</x:v>
      </x:c>
      <x:c r="B35" s="38" t="str">
        <x:v>Shirley: ☐</x:v>
      </x:c>
      <x:c r="C35" s="38" t="str">
        <x:v>Shirley: ☐</x:v>
      </x:c>
      <x:c r="D35" s="38" t="str">
        <x:v>Shirley: ☐</x:v>
      </x:c>
      <x:c r="E35" s="38" t="str">
        <x:v>Shirley: ☐</x:v>
      </x:c>
      <x:c r="F35"/>
    </x:row>
    <x:row r="36" ht="26.25" customHeight="1">
      <x:c r="A36" s="38" t="str">
        <x:v>Yarin: ☐</x:v>
      </x:c>
      <x:c r="B36" s="38" t="str">
        <x:v>Yarin: ☐</x:v>
      </x:c>
      <x:c r="C36" s="38" t="str">
        <x:v>Yarin: ☐</x:v>
      </x:c>
      <x:c r="D36" s="38" t="str">
        <x:v>Yarin: ☐</x:v>
      </x:c>
      <x:c r="E36" s="38" t="str">
        <x:v>Yarin: ☐</x:v>
      </x:c>
      <x:c r="F36"/>
    </x:row>
    <x:row r="37" ht="26.25" customHeight="1">
      <x:c r="A37" s="38" t="str">
        <x:f>IF('Summary'!$B$2="","Name pending: ☐",'Summary'!$B$2&amp;": ☐")</x:f>
        <x:v>Name pending: ☐</x:v>
      </x:c>
      <x:c r="B37" s="38" t="str">
        <x:f>IF('Summary'!$B$2="","Name pending: ☐",'Summary'!$B$2&amp;": ☐")</x:f>
        <x:v>Name pending: ☐</x:v>
      </x:c>
      <x:c r="C37" s="38" t="str">
        <x:f>IF('Summary'!$B$2="","Name pending: ☐",'Summary'!$B$2&amp;": ☐")</x:f>
        <x:v>Name pending: ☐</x:v>
      </x:c>
      <x:c r="D37" s="38" t="str">
        <x:f>IF('Summary'!$B$2="","Name pending: ☐",'Summary'!$B$2&amp;": ☐")</x:f>
        <x:v>Name pending: ☐</x:v>
      </x:c>
      <x:c r="E37" s="38" t="str">
        <x:f>IF('Summary'!$B$2="","Name pending: ☐",'Summary'!$B$2&amp;": ☐")</x:f>
        <x:v>Name pending: ☐</x:v>
      </x:c>
      <x:c r="F37"/>
    </x:row>
    <x:row r="38" ht="26.25" customHeight="1">
      <x:c r="A38" s="50" t="n">
        <x:f>IF(ISNUMBER(SEARCH("☑",A34)),8,0)+IF(ISNUMBER(SEARCH("☑",A35)),8,0)+IF(ISNUMBER(SEARCH("☑",A36)),8,0)+IF(ISNUMBER(SEARCH("☑",A37)),8,0)</x:f>
        <x:v>0</x:v>
      </x:c>
      <x:c r="B38" s="50" t="n">
        <x:f>IF(ISNUMBER(SEARCH("☑",B34)),8,0)+IF(ISNUMBER(SEARCH("☑",B35)),8,0)+IF(ISNUMBER(SEARCH("☑",B36)),8,0)+IF(ISNUMBER(SEARCH("☑",B37)),8,0)</x:f>
        <x:v>0</x:v>
      </x:c>
      <x:c r="C38" s="50" t="n">
        <x:f>IF(ISNUMBER(SEARCH("☑",C34)),8,0)+IF(ISNUMBER(SEARCH("☑",C35)),8,0)+IF(ISNUMBER(SEARCH("☑",C36)),8,0)+IF(ISNUMBER(SEARCH("☑",C37)),8,0)</x:f>
        <x:v>0</x:v>
      </x:c>
      <x:c r="D38" s="50" t="n">
        <x:f>IF(ISNUMBER(SEARCH("☑",D34)),8,0)+IF(ISNUMBER(SEARCH("☑",D35)),8,0)+IF(ISNUMBER(SEARCH("☑",D36)),8,0)+IF(ISNUMBER(SEARCH("☑",D37)),8,0)</x:f>
        <x:v>0</x:v>
      </x:c>
      <x:c r="E38" s="50" t="n">
        <x:f>IF(ISNUMBER(SEARCH("☑",E34)),8,0)+IF(ISNUMBER(SEARCH("☑",E35)),8,0)+IF(ISNUMBER(SEARCH("☑",E36)),8,0)+IF(ISNUMBER(SEARCH("☑",E37)),8,0)</x:f>
        <x:v>0</x:v>
      </x:c>
      <x:c r="F38"/>
    </x:row>
    <x:row r="39" ht="26.25" customHeight="1">
      <x:c r="A39"/>
      <x:c r="B39"/>
      <x:c r="C39"/>
      <x:c r="D39"/>
      <x:c r="E39"/>
      <x:c r="F39"/>
    </x:row>
    <x:row r="40" ht="13.5" customHeight="1">
      <x:c r="A40"/>
      <x:c r="B40"/>
      <x:c r="C40"/>
      <x:c r="D40"/>
      <x:c r="E40"/>
      <x:c r="F40"/>
    </x:row>
    <x:row r="41" ht="13.5" customHeight="1">
      <x:c r="A41" t="str">
        <x:v>Note: Daily total row counts all people together; weekly summary checks each person separately against 17 hours.</x:v>
      </x:c>
      <x:c r="B41"/>
      <x:c r="C41"/>
      <x:c r="D41"/>
      <x:c r="E41"/>
      <x:c r="F41"/>
    </x:row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1:G1"/>
    <x:mergeCell ref="A2:G2"/>
    <x:mergeCell ref="C5:C8"/>
    <x:mergeCell ref="A41:E41"/>
  </x:mergeCells>
  <x:conditionalFormatting sqref="A6:E37">
    <x:cfRule type="expression" dxfId="8" priority="1">
      <x:formula>ISNUMBER(SEARCH("☑",A6))</x:formula>
    </x:cfRule>
  </x:conditionalFormatting>
  <x:conditionalFormatting sqref="H5:J9">
    <x:cfRule type="cellIs" dxfId="9" priority="2" operator="greaterThan">
      <x:formula>17</x:formula>
    </x:cfRule>
  </x:conditionalFormatting>
  <x:conditionalFormatting sqref="K5:K9">
    <x:cfRule type="cellIs" dxfId="10" priority="3" operator="greaterThan">
      <x:formula>17</x:formula>
    </x:cfRule>
  </x:conditionalFormatting>
  <x:conditionalFormatting sqref="L5:L9">
    <x:cfRule type="expression" dxfId="11" priority="4">
      <x:formula>L5="Over 17 hours"</x:formula>
    </x:cfRule>
  </x:conditionalFormatting>
  <x:dataValidations count="20">
    <x:dataValidation type="list" allowBlank="1" showDropDown="0" sqref="D6:E6">
      <x:formula1>"Kelvin: ☐,Kelvin: ☑,Kelvin: X"</x:formula1>
    </x:dataValidation>
    <x:dataValidation type="list" allowBlank="1" showDropDown="0" sqref="D7:E7">
      <x:formula1>"Shirley: ☐,Shirley: ☑,Shirley: X"</x:formula1>
    </x:dataValidation>
    <x:dataValidation type="list" allowBlank="1" showDropDown="0" sqref="D8:E8">
      <x:formula1>"Yarin: ☐,Yarin: ☑,Yarin: X"</x:formula1>
    </x:dataValidation>
    <x:dataValidation type="list" sqref="D9:E9">
      <x:formula1>$M$2:$M$5</x:formula1>
    </x:dataValidation>
    <x:dataValidation type="list" allowBlank="1" showDropDown="0" sqref="A13:E13">
      <x:formula1>"Kelvin: ☐,Kelvin: ☑,Kelvin: X"</x:formula1>
    </x:dataValidation>
    <x:dataValidation type="list" allowBlank="1" showDropDown="0" sqref="A14:E14">
      <x:formula1>"Shirley: ☐,Shirley: ☑,Shirley: X"</x:formula1>
    </x:dataValidation>
    <x:dataValidation type="list" allowBlank="1" showDropDown="0" sqref="A15:E15">
      <x:formula1>"Yarin: ☐,Yarin: ☑,Yarin: X"</x:formula1>
    </x:dataValidation>
    <x:dataValidation type="list" sqref="A16:E16">
      <x:formula1>$M$2:$M$5</x:formula1>
    </x:dataValidation>
    <x:dataValidation type="list" allowBlank="1" showDropDown="0" sqref="A20:E20">
      <x:formula1>"Kelvin: ☐,Kelvin: ☑,Kelvin: X"</x:formula1>
    </x:dataValidation>
    <x:dataValidation type="list" allowBlank="1" showDropDown="0" sqref="A21:E21">
      <x:formula1>"Shirley: ☐,Shirley: ☑,Shirley: X"</x:formula1>
    </x:dataValidation>
    <x:dataValidation type="list" allowBlank="1" showDropDown="0" sqref="A22:E22">
      <x:formula1>"Yarin: ☐,Yarin: ☑,Yarin: X"</x:formula1>
    </x:dataValidation>
    <x:dataValidation type="list" sqref="A23:E23">
      <x:formula1>$M$2:$M$5</x:formula1>
    </x:dataValidation>
    <x:dataValidation type="list" allowBlank="1" showDropDown="0" sqref="A27:E27">
      <x:formula1>"Kelvin: ☐,Kelvin: ☑,Kelvin: X"</x:formula1>
    </x:dataValidation>
    <x:dataValidation type="list" allowBlank="1" showDropDown="0" sqref="A28:E28">
      <x:formula1>"Shirley: ☐,Shirley: ☑,Shirley: X"</x:formula1>
    </x:dataValidation>
    <x:dataValidation type="list" allowBlank="1" showDropDown="0" sqref="A29:E29">
      <x:formula1>"Yarin: ☐,Yarin: ☑,Yarin: X"</x:formula1>
    </x:dataValidation>
    <x:dataValidation type="list" sqref="A30:E30">
      <x:formula1>$M$2:$M$5</x:formula1>
    </x:dataValidation>
    <x:dataValidation type="list" allowBlank="1" showDropDown="0" sqref="A34:E34">
      <x:formula1>"Kelvin: ☐,Kelvin: ☑,Kelvin: X"</x:formula1>
    </x:dataValidation>
    <x:dataValidation type="list" allowBlank="1" showDropDown="0" sqref="A35:E35">
      <x:formula1>"Shirley: ☐,Shirley: ☑,Shirley: X"</x:formula1>
    </x:dataValidation>
    <x:dataValidation type="list" allowBlank="1" showDropDown="0" sqref="A36:E36">
      <x:formula1>"Yarin: ☐,Yarin: ☑,Yarin: X"</x:formula1>
    </x:dataValidation>
    <x:dataValidation type="list" sqref="A37:E37">
      <x:formula1>$M$2:$M$5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5" width="22" customWidth="1"/>
    <x:col min="6" max="6" width="3" customWidth="1"/>
    <x:col min="7" max="7" width="15" customWidth="1"/>
    <x:col min="8" max="10" width="13" customWidth="1"/>
    <x:col min="11" max="11" width="13" hidden="0" customWidth="1"/>
    <x:col min="12" max="12" width="8.880000114440918" customWidth="1"/>
    <x:col min="13" max="13" width="8.880000114440918" hidden="1" customWidth="1"/>
    <x:col min="14" max="26" width="8.880000114440918" customWidth="1"/>
    <x:col min="12" max="12" width="24" hidden="0" customWidth="1"/>
  </x:cols>
  <x:sheetData>
    <x:row r="1" ht="13.5" customHeight="1">
      <x:c r="A1" s="1" t="s">
        <x:v>28</x:v>
      </x:c>
      <x:c r="B1" s="2"/>
      <x:c r="C1" s="2"/>
      <x:c r="D1" s="2"/>
      <x:c r="E1" s="2"/>
      <x:c r="F1" s="2"/>
      <x:c r="G1" s="3"/>
    </x:row>
    <x:row r="2" ht="13.5" customHeight="1">
      <x:c r="A2" s="10" t="s">
        <x:v>9</x:v>
      </x:c>
      <x:c r="B2" s="2"/>
      <x:c r="C2" s="2"/>
      <x:c r="D2" s="2"/>
      <x:c r="E2" s="2"/>
      <x:c r="F2" s="2"/>
      <x:c r="G2" s="3"/>
      <x:c r="M2" s="39" t="str">
        <x:f>IF('Summary'!$B$2="","Name pending: ☐",'Summary'!$B$2&amp;": ☐")</x:f>
        <x:v>Name pending: ☐</x:v>
      </x:c>
    </x:row>
    <x:row r="3" ht="13.5" customHeight="1">
      <x:c r="M3" s="39" t="str">
        <x:f>IF('Summary'!$B$2="","Name pending: ☑ HHB",'Summary'!$B$2&amp;": ☑ HHB")</x:f>
        <x:v>Name pending: ☑ HHB</x:v>
      </x:c>
    </x:row>
    <x:row r="4" ht="13.5" customHeight="1">
      <x:c r="A4" s="6" t="s">
        <x:v>10</x:v>
      </x:c>
      <x:c r="B4" s="6" t="s">
        <x:v>11</x:v>
      </x:c>
      <x:c r="C4" s="6" t="s">
        <x:v>12</x:v>
      </x:c>
      <x:c r="D4" s="6" t="s">
        <x:v>13</x:v>
      </x:c>
      <x:c r="E4" s="6" t="s">
        <x:v>14</x:v>
      </x:c>
      <x:c r="G4" s="6" t="s">
        <x:v>4</x:v>
      </x:c>
      <x:c r="H4" s="6" t="s">
        <x:v>15</x:v>
      </x:c>
      <x:c r="I4" s="6" t="s">
        <x:v>16</x:v>
      </x:c>
      <x:c r="J4" s="6" t="s">
        <x:v>17</x:v>
      </x:c>
      <x:c r="K4" s="25" t="str">
        <x:f>IF('Summary'!$B$2="","New worker",'Summary'!$B$2)</x:f>
        <x:v>New worker</x:v>
      </x:c>
      <x:c r="L4" s="30" t="str">
        <x:v>Status</x:v>
      </x:c>
      <x:c r="M4" s="39" t="str">
        <x:f>IF('Summary'!$B$2="","Name pending: ☑ WFH",'Summary'!$B$2&amp;": ☑ WFH")</x:f>
        <x:v>Name pending: ☑ WFH</x:v>
      </x:c>
    </x:row>
    <x:row r="5" ht="26.25" customHeight="1">
      <x:c r="A5" s="17"/>
      <x:c r="B5" s="17"/>
      <x:c r="C5" s="17"/>
      <x:c r="D5" s="17"/>
      <x:c r="E5" s="17"/>
      <x:c r="G5" s="8">
        <x:v>46230.0</x:v>
      </x:c>
      <x:c r="H5" s="9" t="n">
        <x:f t="shared" ref="H5:J5" si="1">IF(ISNUMBER(SEARCH("☑",A12)),8,0)+IF(ISNUMBER(SEARCH("☑",B12)),8,0)+IF(ISNUMBER(SEARCH("☑",C12)),8,0)+IF(ISNUMBER(SEARCH("☑",D12)),8,0)+IF(ISNUMBER(SEARCH("☑",E12)),8,0)</x:f>
        <x:v>0</x:v>
      </x:c>
      <x:c r="I5" s="9" t="n">
        <x:f t="shared" si="1">IF(ISNUMBER(SEARCH("☑",A13)),8,0)+IF(ISNUMBER(SEARCH("☑",B13)),8,0)+IF(ISNUMBER(SEARCH("☑",C13)),8,0)+IF(ISNUMBER(SEARCH("☑",D13)),8,0)+IF(ISNUMBER(SEARCH("☑",E13)),8,0)</x:f>
        <x:v>0</x:v>
      </x:c>
      <x:c r="J5" s="9" t="n">
        <x:f t="shared" si="1">IF(ISNUMBER(SEARCH("☑",A14)),8,0)+IF(ISNUMBER(SEARCH("☑",B14)),8,0)+IF(ISNUMBER(SEARCH("☑",C14)),8,0)+IF(ISNUMBER(SEARCH("☑",D14)),8,0)+IF(ISNUMBER(SEARCH("☑",E14)),8,0)</x:f>
        <x:v>0</x:v>
      </x:c>
      <x:c r="K5" s="33" t="n">
        <x:f t="shared" ref="K5:K10" si="2">IF(ISNUMBER(SEARCH("☑",A15)),8,0)+IF(ISNUMBER(SEARCH("☑",B15)),8,0)+IF(ISNUMBER(SEARCH("☑",C15)),8,0)+IF(ISNUMBER(SEARCH("☑",D15)),8,0)+IF(ISNUMBER(SEARCH("☑",E15)),8,0)</x:f>
        <x:v>0</x:v>
      </x:c>
      <x:c r="L5" s="38" t="str">
        <x:f>IF(MAX(H5:J5,K5)&gt;17,"Over 17 hours","OK")</x:f>
        <x:v>OK</x:v>
      </x:c>
      <x:c r="M5" s="39" t="str">
        <x:f>IF('Summary'!$B$2="","Name pending: X",'Summary'!$B$2&amp;": X")</x:f>
        <x:v>Name pending: X</x:v>
      </x:c>
    </x:row>
    <x:row r="6" ht="26.25" customHeight="1">
      <x:c r="A6" s="17"/>
      <x:c r="B6" s="17"/>
      <x:c r="C6" s="17"/>
      <x:c r="D6" s="17"/>
      <x:c r="E6" s="17"/>
      <x:c r="G6" s="8">
        <x:v>46237.0</x:v>
      </x:c>
      <x:c r="H6" s="9" t="n">
        <x:f>IF(ISNUMBER(SEARCH("☑",A19)),8,0)+IF(ISNUMBER(SEARCH("☑",B19)),8,0)+IF(ISNUMBER(SEARCH("☑",C19)),8,0)+IF(ISNUMBER(SEARCH("☑",D19)),8,0)+IF(ISNUMBER(SEARCH("☑",E19)),8,0)</x:f>
        <x:v>0</x:v>
      </x:c>
      <x:c r="I6" s="9" t="n">
        <x:f>IF(ISNUMBER(SEARCH("☑",A20)),8,0)+IF(ISNUMBER(SEARCH("☑",B20)),8,0)+IF(ISNUMBER(SEARCH("☑",C20)),8,0)+IF(ISNUMBER(SEARCH("☑",D20)),8,0)+IF(ISNUMBER(SEARCH("☑",E20)),8,0)</x:f>
        <x:v>0</x:v>
      </x:c>
      <x:c r="J6" s="9" t="n">
        <x:f>IF(ISNUMBER(SEARCH("☑",A21)),8,0)+IF(ISNUMBER(SEARCH("☑",B21)),8,0)+IF(ISNUMBER(SEARCH("☑",C21)),8,0)+IF(ISNUMBER(SEARCH("☑",D21)),8,0)+IF(ISNUMBER(SEARCH("☑",E21)),8,0)</x:f>
        <x:v>0</x:v>
      </x:c>
      <x:c r="K6" s="33" t="n">
        <x:f t="shared" si="2">IF(ISNUMBER(SEARCH("☑",A22)),8,0)+IF(ISNUMBER(SEARCH("☑",B22)),8,0)+IF(ISNUMBER(SEARCH("☑",C22)),8,0)+IF(ISNUMBER(SEARCH("☑",D22)),8,0)+IF(ISNUMBER(SEARCH("☑",E22)),8,0)</x:f>
        <x:v>0</x:v>
      </x:c>
      <x:c r="L6" s="38" t="str">
        <x:f>IF(MAX(H6:J6,K6)&gt;17,"Over 17 hours","OK")</x:f>
        <x:v>OK</x:v>
      </x:c>
    </x:row>
    <x:row r="7" ht="26.25" customHeight="1">
      <x:c r="A7" s="17"/>
      <x:c r="B7" s="17"/>
      <x:c r="C7" s="17"/>
      <x:c r="D7" s="17"/>
      <x:c r="E7" s="17"/>
      <x:c r="G7" s="8">
        <x:v>46244.0</x:v>
      </x:c>
      <x:c r="H7" s="9" t="n">
        <x:f>IF(ISNUMBER(SEARCH("☑",A26)),8,0)+IF(ISNUMBER(SEARCH("☑",B26)),8,0)+IF(ISNUMBER(SEARCH("☑",C26)),8,0)+IF(ISNUMBER(SEARCH("☑",D26)),8,0)+IF(ISNUMBER(SEARCH("☑",E26)),8,0)</x:f>
        <x:v>0</x:v>
      </x:c>
      <x:c r="I7" s="9" t="n">
        <x:f>IF(ISNUMBER(SEARCH("☑",A27)),8,0)+IF(ISNUMBER(SEARCH("☑",B27)),8,0)+IF(ISNUMBER(SEARCH("☑",C27)),8,0)+IF(ISNUMBER(SEARCH("☑",D27)),8,0)+IF(ISNUMBER(SEARCH("☑",E27)),8,0)</x:f>
        <x:v>0</x:v>
      </x:c>
      <x:c r="J7" s="9" t="n">
        <x:f>IF(ISNUMBER(SEARCH("☑",A28)),8,0)+IF(ISNUMBER(SEARCH("☑",B28)),8,0)+IF(ISNUMBER(SEARCH("☑",C28)),8,0)+IF(ISNUMBER(SEARCH("☑",D28)),8,0)+IF(ISNUMBER(SEARCH("☑",E28)),8,0)</x:f>
        <x:v>0</x:v>
      </x:c>
      <x:c r="K7" s="33" t="n">
        <x:f t="shared" si="2">IF(ISNUMBER(SEARCH("☑",A29)),8,0)+IF(ISNUMBER(SEARCH("☑",B29)),8,0)+IF(ISNUMBER(SEARCH("☑",C29)),8,0)+IF(ISNUMBER(SEARCH("☑",D29)),8,0)+IF(ISNUMBER(SEARCH("☑",E29)),8,0)</x:f>
        <x:v>0</x:v>
      </x:c>
      <x:c r="L7" s="38" t="str">
        <x:f>IF(MAX(H7:J7,K7)&gt;17,"Over 17 hours","OK")</x:f>
        <x:v>OK</x:v>
      </x:c>
    </x:row>
    <x:row r="8" ht="26.25" customHeight="1">
      <x:c r="A8" s="17"/>
      <x:c r="B8" s="17"/>
      <x:c r="C8" s="17"/>
      <x:c r="D8" s="17"/>
      <x:c r="E8" s="17"/>
      <x:c r="G8" s="8">
        <x:v>46251.0</x:v>
      </x:c>
      <x:c r="H8" s="9" t="n">
        <x:f>IF(ISNUMBER(SEARCH("☑",A33)),8,0)+IF(ISNUMBER(SEARCH("☑",B33)),8,0)+IF(ISNUMBER(SEARCH("☑",C33)),8,0)+IF(ISNUMBER(SEARCH("☑",D33)),8,0)+IF(ISNUMBER(SEARCH("☑",E33)),8,0)</x:f>
        <x:v>0</x:v>
      </x:c>
      <x:c r="I8" s="9" t="n">
        <x:f>IF(ISNUMBER(SEARCH("☑",A34)),8,0)+IF(ISNUMBER(SEARCH("☑",B34)),8,0)+IF(ISNUMBER(SEARCH("☑",C34)),8,0)+IF(ISNUMBER(SEARCH("☑",D34)),8,0)+IF(ISNUMBER(SEARCH("☑",E34)),8,0)</x:f>
        <x:v>0</x:v>
      </x:c>
      <x:c r="J8" s="9" t="n">
        <x:f>IF(ISNUMBER(SEARCH("☑",A35)),8,0)+IF(ISNUMBER(SEARCH("☑",B35)),8,0)+IF(ISNUMBER(SEARCH("☑",C35)),8,0)+IF(ISNUMBER(SEARCH("☑",D35)),8,0)+IF(ISNUMBER(SEARCH("☑",E35)),8,0)</x:f>
        <x:v>0</x:v>
      </x:c>
      <x:c r="K8" s="33" t="n">
        <x:f t="shared" si="2">IF(ISNUMBER(SEARCH("☑",A36)),8,0)+IF(ISNUMBER(SEARCH("☑",B36)),8,0)+IF(ISNUMBER(SEARCH("☑",C36)),8,0)+IF(ISNUMBER(SEARCH("☑",D36)),8,0)+IF(ISNUMBER(SEARCH("☑",E36)),8,0)</x:f>
        <x:v>0</x:v>
      </x:c>
      <x:c r="L8" s="38" t="str">
        <x:f>IF(MAX(H8:J8,K8)&gt;17,"Over 17 hours","OK")</x:f>
        <x:v>OK</x:v>
      </x:c>
    </x:row>
    <x:row r="9" ht="26.25" customHeight="1">
      <x:c r="A9" s="17"/>
      <x:c r="B9" s="17"/>
      <x:c r="C9" s="17"/>
      <x:c r="D9" s="17"/>
      <x:c r="E9" s="17"/>
      <x:c r="G9" s="8">
        <x:v>46258.0</x:v>
      </x:c>
      <x:c r="H9" s="9" t="n">
        <x:f>IF(ISNUMBER(SEARCH("☑",A40)),8,0)</x:f>
        <x:v>0</x:v>
      </x:c>
      <x:c r="I9" s="9" t="n">
        <x:f>IF(ISNUMBER(SEARCH("☑",A41)),8,0)</x:f>
        <x:v>0</x:v>
      </x:c>
      <x:c r="J9" s="9" t="n">
        <x:f>IF(ISNUMBER(SEARCH("☑",A42)),8,0)</x:f>
        <x:v>0</x:v>
      </x:c>
      <x:c r="K9" s="33" t="n">
        <x:f t="shared" si="2">IF(ISNUMBER(SEARCH("☑",A43)),8,0)</x:f>
        <x:v>0</x:v>
      </x:c>
      <x:c r="L9" s="38" t="str">
        <x:f>IF(MAX(H9:J9,K9)&gt;17,"Over 17 hours","OK")</x:f>
        <x:v>OK</x:v>
      </x:c>
    </x:row>
    <x:row r="10" ht="26.25" customHeight="1">
      <x:c r="A10" s="15"/>
      <x:c r="B10" s="15"/>
      <x:c r="C10" s="15"/>
      <x:c r="D10" s="15"/>
      <x:c r="E10" s="15"/>
      <x:c r="G10" s="8">
        <x:v>46265.0</x:v>
      </x:c>
      <x:c r="H10" s="9" t="n">
        <x:f>IF(ISNUMBER(SEARCH("☑",A36)),8,0)</x:f>
        <x:v>0</x:v>
      </x:c>
      <x:c r="I10" s="9" t="n">
        <x:f>IF(ISNUMBER(SEARCH("☑",A37)),8,0)</x:f>
        <x:v>0</x:v>
      </x:c>
      <x:c r="J10" s="9" t="n">
        <x:f>IF(ISNUMBER(SEARCH("☑",A38)),8,0)</x:f>
        <x:v>0</x:v>
      </x:c>
      <x:c r="K10" s="33" t="n">
        <x:f t="shared" si="2">IF(ISNUMBER(SEARCH("☑",B38)),8,0)</x:f>
        <x:v>0</x:v>
      </x:c>
      <x:c r="L10" s="38" t="str">
        <x:v>OK</x:v>
      </x:c>
    </x:row>
    <x:row r="11" ht="26.25" customHeight="1">
      <x:c r="A11" s="42">
        <x:v>46237.0</x:v>
      </x:c>
      <x:c r="B11" s="42">
        <x:v>46238.0</x:v>
      </x:c>
      <x:c r="C11" s="42">
        <x:v>46239.0</x:v>
      </x:c>
      <x:c r="D11" s="42">
        <x:v>46240.0</x:v>
      </x:c>
      <x:c r="E11" s="42">
        <x:v>46241.0</x:v>
      </x:c>
    </x:row>
    <x:row r="12" ht="26.25" customHeight="1">
      <x:c r="A12" s="52" t="s">
        <x:v>18</x:v>
      </x:c>
      <x:c r="B12" s="52" t="s">
        <x:v>18</x:v>
      </x:c>
      <x:c r="C12" s="52" t="s">
        <x:v>18</x:v>
      </x:c>
      <x:c r="D12" s="52" t="s">
        <x:v>18</x:v>
      </x:c>
      <x:c r="E12" s="52" t="s">
        <x:v>18</x:v>
      </x:c>
    </x:row>
    <x:row r="13" ht="26.25" customHeight="1">
      <x:c r="A13" s="52" t="s">
        <x:v>20</x:v>
      </x:c>
      <x:c r="B13" s="52" t="s">
        <x:v>20</x:v>
      </x:c>
      <x:c r="C13" s="52" t="s">
        <x:v>20</x:v>
      </x:c>
      <x:c r="D13" s="52" t="s">
        <x:v>20</x:v>
      </x:c>
      <x:c r="E13" s="52" t="s">
        <x:v>20</x:v>
      </x:c>
    </x:row>
    <x:row r="14" ht="26.25" customHeight="1">
      <x:c r="A14" s="52" t="s">
        <x:v>22</x:v>
      </x:c>
      <x:c r="B14" s="52" t="s">
        <x:v>22</x:v>
      </x:c>
      <x:c r="C14" s="52" t="s">
        <x:v>22</x:v>
      </x:c>
      <x:c r="D14" s="52" t="s">
        <x:v>22</x:v>
      </x:c>
      <x:c r="E14" s="52" t="s">
        <x:v>22</x:v>
      </x:c>
    </x:row>
    <x:row r="15" ht="26.25" customHeight="1">
      <x:c r="A15" s="44" t="str">
        <x:f t="shared" ref="A15:E15" si="3">IF('Summary'!$B$2="","Name pending: ☐",'Summary'!$B$2&amp;": ☐")</x:f>
        <x:v>Name pending: ☐</x:v>
      </x:c>
      <x:c r="B15" s="44" t="str">
        <x:f t="shared" si="3">IF('Summary'!$B$2="","Name pending: ☐",'Summary'!$B$2&amp;": ☐")</x:f>
        <x:v>Name pending: ☐</x:v>
      </x:c>
      <x:c r="C15" s="44" t="str">
        <x:f t="shared" si="3">IF('Summary'!$B$2="","Name pending: ☐",'Summary'!$B$2&amp;": ☐")</x:f>
        <x:v>Name pending: ☐</x:v>
      </x:c>
      <x:c r="D15" s="44" t="str">
        <x:f t="shared" si="3">IF('Summary'!$B$2="","Name pending: ☐",'Summary'!$B$2&amp;": ☐")</x:f>
        <x:v>Name pending: ☐</x:v>
      </x:c>
      <x:c r="E15" s="44" t="str">
        <x:f t="shared" si="3">IF('Summary'!$B$2="","Name pending: ☐",'Summary'!$B$2&amp;": ☐")</x:f>
        <x:v>Name pending: ☐</x:v>
      </x:c>
      <x:c r="F15"/>
    </x:row>
    <x:row r="16" ht="26.25" customHeight="1">
      <x:c r="A16" s="50" t="n">
        <x:f>IF(ISNUMBER(SEARCH("☑",A12)),8,0)+IF(ISNUMBER(SEARCH("☑",A13)),8,0)+IF(ISNUMBER(SEARCH("☑",A14)),8,0)+IF(ISNUMBER(SEARCH("☑",A15)),8,0)</x:f>
        <x:v>0</x:v>
      </x:c>
      <x:c r="B16" s="50" t="n">
        <x:f>IF(ISNUMBER(SEARCH("☑",B12)),8,0)+IF(ISNUMBER(SEARCH("☑",B13)),8,0)+IF(ISNUMBER(SEARCH("☑",B14)),8,0)+IF(ISNUMBER(SEARCH("☑",B15)),8,0)</x:f>
        <x:v>0</x:v>
      </x:c>
      <x:c r="C16" s="50" t="n">
        <x:f>IF(ISNUMBER(SEARCH("☑",C12)),8,0)+IF(ISNUMBER(SEARCH("☑",C13)),8,0)+IF(ISNUMBER(SEARCH("☑",C14)),8,0)+IF(ISNUMBER(SEARCH("☑",C15)),8,0)</x:f>
        <x:v>0</x:v>
      </x:c>
      <x:c r="D16" s="50" t="n">
        <x:f>IF(ISNUMBER(SEARCH("☑",D12)),8,0)+IF(ISNUMBER(SEARCH("☑",D13)),8,0)+IF(ISNUMBER(SEARCH("☑",D14)),8,0)+IF(ISNUMBER(SEARCH("☑",D15)),8,0)</x:f>
        <x:v>0</x:v>
      </x:c>
      <x:c r="E16" s="50" t="n">
        <x:f>IF(ISNUMBER(SEARCH("☑",E12)),8,0)+IF(ISNUMBER(SEARCH("☑",E13)),8,0)+IF(ISNUMBER(SEARCH("☑",E14)),8,0)+IF(ISNUMBER(SEARCH("☑",E15)),8,0)</x:f>
        <x:v>0</x:v>
      </x:c>
      <x:c r="F16"/>
    </x:row>
    <x:row r="17" ht="26.25" customHeight="1">
      <x:c r="A17"/>
      <x:c r="B17"/>
      <x:c r="C17"/>
      <x:c r="D17"/>
      <x:c r="E17"/>
      <x:c r="F17"/>
    </x:row>
    <x:row r="18" ht="26.25" customHeight="1">
      <x:c r="A18" s="58" t="n">
        <x:v>46244</x:v>
      </x:c>
      <x:c r="B18" s="58" t="n">
        <x:v>46245</x:v>
      </x:c>
      <x:c r="C18" s="58" t="n">
        <x:v>46246</x:v>
      </x:c>
      <x:c r="D18" s="58" t="n">
        <x:v>46247</x:v>
      </x:c>
      <x:c r="E18" s="58" t="n">
        <x:v>46248</x:v>
      </x:c>
      <x:c r="F18"/>
    </x:row>
    <x:row r="19" ht="26.25" customHeight="1">
      <x:c r="A19" s="38" t="str">
        <x:v>Kelvin: ☐</x:v>
      </x:c>
      <x:c r="B19" s="38" t="str">
        <x:v>Kelvin: ☐</x:v>
      </x:c>
      <x:c r="C19" s="38" t="str">
        <x:v>Kelvin: ☐</x:v>
      </x:c>
      <x:c r="D19" s="38" t="str">
        <x:v>Kelvin: ☐</x:v>
      </x:c>
      <x:c r="E19" s="38" t="str">
        <x:v>Kelvin: ☐</x:v>
      </x:c>
      <x:c r="F19"/>
    </x:row>
    <x:row r="20" ht="26.25" customHeight="1">
      <x:c r="A20" s="38" t="str">
        <x:v>Shirley: ☐</x:v>
      </x:c>
      <x:c r="B20" s="38" t="str">
        <x:v>Shirley: ☐</x:v>
      </x:c>
      <x:c r="C20" s="38" t="str">
        <x:v>Shirley: ☐</x:v>
      </x:c>
      <x:c r="D20" s="38" t="str">
        <x:v>Shirley: ☐</x:v>
      </x:c>
      <x:c r="E20" s="38" t="str">
        <x:v>Shirley: ☐</x:v>
      </x:c>
      <x:c r="F20"/>
    </x:row>
    <x:row r="21" ht="26.25" customHeight="1">
      <x:c r="A21" s="38" t="str">
        <x:v>Yarin: ☐</x:v>
      </x:c>
      <x:c r="B21" s="38" t="str">
        <x:v>Yarin: ☐</x:v>
      </x:c>
      <x:c r="C21" s="38" t="str">
        <x:v>Yarin: X(Out of HK for training camp)</x:v>
      </x:c>
      <x:c r="D21" s="38" t="str">
        <x:v>Yarin: X (Out of HK for training camp)</x:v>
      </x:c>
      <x:c r="E21" s="38" t="str">
        <x:v>Yarin: X (Out of HK for training camp)</x:v>
      </x:c>
      <x:c r="F21"/>
    </x:row>
    <x:row r="22" ht="26.25" customHeight="1">
      <x:c r="A22" s="38" t="str">
        <x:f>IF('Summary'!$B$2="","Name pending: ☐",'Summary'!$B$2&amp;": ☐")</x:f>
        <x:v>Name pending: ☐</x:v>
      </x:c>
      <x:c r="B22" s="38" t="str">
        <x:f>IF('Summary'!$B$2="","Name pending: ☐",'Summary'!$B$2&amp;": ☐")</x:f>
        <x:v>Name pending: ☐</x:v>
      </x:c>
      <x:c r="C22" s="38" t="str">
        <x:f>IF('Summary'!$B$2="","Name pending: ☐",'Summary'!$B$2&amp;": ☐")</x:f>
        <x:v>Name pending: ☐</x:v>
      </x:c>
      <x:c r="D22" s="38" t="str">
        <x:f>IF('Summary'!$B$2="","Name pending: ☐",'Summary'!$B$2&amp;": ☐")</x:f>
        <x:v>Name pending: ☐</x:v>
      </x:c>
      <x:c r="E22" s="38" t="str">
        <x:f>IF('Summary'!$B$2="","Name pending: ☐",'Summary'!$B$2&amp;": ☐")</x:f>
        <x:v>Name pending: ☐</x:v>
      </x:c>
      <x:c r="F22"/>
    </x:row>
    <x:row r="23" ht="26.25" customHeight="1">
      <x:c r="A23" s="50" t="n">
        <x:f>IF(ISNUMBER(SEARCH("☑",A19)),8,0)+IF(ISNUMBER(SEARCH("☑",A20)),8,0)+IF(ISNUMBER(SEARCH("☑",A21)),8,0)+IF(ISNUMBER(SEARCH("☑",A22)),8,0)</x:f>
        <x:v>0</x:v>
      </x:c>
      <x:c r="B23" s="50" t="n">
        <x:f>IF(ISNUMBER(SEARCH("☑",B19)),8,0)+IF(ISNUMBER(SEARCH("☑",B20)),8,0)+IF(ISNUMBER(SEARCH("☑",B21)),8,0)+IF(ISNUMBER(SEARCH("☑",B22)),8,0)</x:f>
        <x:v>0</x:v>
      </x:c>
      <x:c r="C23" s="50" t="n">
        <x:f>IF(ISNUMBER(SEARCH("☑",C19)),8,0)+IF(ISNUMBER(SEARCH("☑",C20)),8,0)+IF(ISNUMBER(SEARCH("☑",C21)),8,0)+IF(ISNUMBER(SEARCH("☑",C22)),8,0)</x:f>
        <x:v>0</x:v>
      </x:c>
      <x:c r="D23" s="50" t="n">
        <x:f>IF(ISNUMBER(SEARCH("☑",D19)),8,0)+IF(ISNUMBER(SEARCH("☑",D20)),8,0)+IF(ISNUMBER(SEARCH("☑",D21)),8,0)+IF(ISNUMBER(SEARCH("☑",D22)),8,0)</x:f>
        <x:v>0</x:v>
      </x:c>
      <x:c r="E23" s="50" t="n">
        <x:f>IF(ISNUMBER(SEARCH("☑",E19)),8,0)+IF(ISNUMBER(SEARCH("☑",E20)),8,0)+IF(ISNUMBER(SEARCH("☑",E21)),8,0)+IF(ISNUMBER(SEARCH("☑",E22)),8,0)</x:f>
        <x:v>0</x:v>
      </x:c>
      <x:c r="F23"/>
    </x:row>
    <x:row r="24" ht="26.25" customHeight="1">
      <x:c r="A24"/>
      <x:c r="B24"/>
      <x:c r="C24"/>
      <x:c r="D24"/>
      <x:c r="E24"/>
      <x:c r="F24"/>
    </x:row>
    <x:row r="25" ht="26.25" customHeight="1">
      <x:c r="A25" s="58" t="n">
        <x:v>46251</x:v>
      </x:c>
      <x:c r="B25" s="58" t="n">
        <x:v>46252</x:v>
      </x:c>
      <x:c r="C25" s="58" t="n">
        <x:v>46253</x:v>
      </x:c>
      <x:c r="D25" s="58" t="n">
        <x:v>46254</x:v>
      </x:c>
      <x:c r="E25" s="58" t="n">
        <x:v>46255</x:v>
      </x:c>
      <x:c r="F25"/>
    </x:row>
    <x:row r="26" ht="26.25" customHeight="1">
      <x:c r="A26" s="38" t="str">
        <x:v>Kelvin: ☐</x:v>
      </x:c>
      <x:c r="B26" s="38" t="str">
        <x:v>Kelvin: ☐</x:v>
      </x:c>
      <x:c r="C26" s="38" t="str">
        <x:v>Kelvin: ☐</x:v>
      </x:c>
      <x:c r="D26" s="38" t="str">
        <x:v>Kelvin: ☐</x:v>
      </x:c>
      <x:c r="E26" s="38" t="str">
        <x:v>Kelvin: ☐</x:v>
      </x:c>
      <x:c r="F26"/>
    </x:row>
    <x:row r="27" ht="26.25" customHeight="1">
      <x:c r="A27" s="38" t="str">
        <x:v>Shirley: ☐</x:v>
      </x:c>
      <x:c r="B27" s="38" t="str">
        <x:v>Shirley: ☐</x:v>
      </x:c>
      <x:c r="C27" s="38" t="str">
        <x:v>Shirley: ☐</x:v>
      </x:c>
      <x:c r="D27" s="38" t="str">
        <x:v>Shirley: ☐</x:v>
      </x:c>
      <x:c r="E27" s="38" t="str">
        <x:v>Shirley: ☐</x:v>
      </x:c>
      <x:c r="F27"/>
    </x:row>
    <x:row r="28" ht="26.25" customHeight="1">
      <x:c r="A28" s="38" t="str">
        <x:v>Yarin: X (Out of HK for training camp)</x:v>
      </x:c>
      <x:c r="B28" s="38" t="str">
        <x:v>Yarin: ☐</x:v>
      </x:c>
      <x:c r="C28" s="38" t="str">
        <x:v>Yarin: ☐</x:v>
      </x:c>
      <x:c r="D28" s="38" t="str">
        <x:v>Yarin: ☐</x:v>
      </x:c>
      <x:c r="E28" s="38" t="str">
        <x:v>Yarin: ☐</x:v>
      </x:c>
      <x:c r="F28"/>
    </x:row>
    <x:row r="29" ht="26.25" customHeight="1">
      <x:c r="A29" s="38" t="str">
        <x:f>IF('Summary'!$B$2="","Name pending: ☐",'Summary'!$B$2&amp;": ☐")</x:f>
        <x:v>Name pending: ☐</x:v>
      </x:c>
      <x:c r="B29" s="38" t="str">
        <x:f>IF('Summary'!$B$2="","Name pending: ☐",'Summary'!$B$2&amp;": ☐")</x:f>
        <x:v>Name pending: ☐</x:v>
      </x:c>
      <x:c r="C29" s="38" t="str">
        <x:f>IF('Summary'!$B$2="","Name pending: ☐",'Summary'!$B$2&amp;": ☐")</x:f>
        <x:v>Name pending: ☐</x:v>
      </x:c>
      <x:c r="D29" s="38" t="str">
        <x:f>IF('Summary'!$B$2="","Name pending: ☐",'Summary'!$B$2&amp;": ☐")</x:f>
        <x:v>Name pending: ☐</x:v>
      </x:c>
      <x:c r="E29" s="38" t="str">
        <x:f>IF('Summary'!$B$2="","Name pending: ☐",'Summary'!$B$2&amp;": ☐")</x:f>
        <x:v>Name pending: ☐</x:v>
      </x:c>
      <x:c r="F29"/>
    </x:row>
    <x:row r="30" ht="26.25" customHeight="1">
      <x:c r="A30" s="50" t="n">
        <x:f>IF(ISNUMBER(SEARCH("☑",A26)),8,0)+IF(ISNUMBER(SEARCH("☑",A27)),8,0)+IF(ISNUMBER(SEARCH("☑",A28)),8,0)+IF(ISNUMBER(SEARCH("☑",A29)),8,0)</x:f>
        <x:v>0</x:v>
      </x:c>
      <x:c r="B30" s="50" t="n">
        <x:f>IF(ISNUMBER(SEARCH("☑",B26)),8,0)+IF(ISNUMBER(SEARCH("☑",B27)),8,0)+IF(ISNUMBER(SEARCH("☑",B28)),8,0)+IF(ISNUMBER(SEARCH("☑",B29)),8,0)</x:f>
        <x:v>0</x:v>
      </x:c>
      <x:c r="C30" s="50" t="n">
        <x:f>IF(ISNUMBER(SEARCH("☑",C26)),8,0)+IF(ISNUMBER(SEARCH("☑",C27)),8,0)+IF(ISNUMBER(SEARCH("☑",C28)),8,0)+IF(ISNUMBER(SEARCH("☑",C29)),8,0)</x:f>
        <x:v>0</x:v>
      </x:c>
      <x:c r="D30" s="50" t="n">
        <x:f>IF(ISNUMBER(SEARCH("☑",D26)),8,0)+IF(ISNUMBER(SEARCH("☑",D27)),8,0)+IF(ISNUMBER(SEARCH("☑",D28)),8,0)+IF(ISNUMBER(SEARCH("☑",D29)),8,0)</x:f>
        <x:v>0</x:v>
      </x:c>
      <x:c r="E30" s="50" t="n">
        <x:f>IF(ISNUMBER(SEARCH("☑",E26)),8,0)+IF(ISNUMBER(SEARCH("☑",E27)),8,0)+IF(ISNUMBER(SEARCH("☑",E28)),8,0)+IF(ISNUMBER(SEARCH("☑",E29)),8,0)</x:f>
        <x:v>0</x:v>
      </x:c>
      <x:c r="F30"/>
    </x:row>
    <x:row r="31" ht="26.25" customHeight="1">
      <x:c r="A31"/>
      <x:c r="B31"/>
      <x:c r="C31"/>
      <x:c r="D31"/>
      <x:c r="E31"/>
      <x:c r="F31"/>
    </x:row>
    <x:row r="32" ht="26.25" customHeight="1">
      <x:c r="A32" s="58" t="n">
        <x:v>46258</x:v>
      </x:c>
      <x:c r="B32" s="58" t="n">
        <x:v>46259</x:v>
      </x:c>
      <x:c r="C32" s="58" t="n">
        <x:v>46260</x:v>
      </x:c>
      <x:c r="D32" s="58" t="n">
        <x:v>46261</x:v>
      </x:c>
      <x:c r="E32" s="58" t="n">
        <x:v>46262</x:v>
      </x:c>
      <x:c r="F32"/>
    </x:row>
    <x:row r="33" ht="26.25" customHeight="1">
      <x:c r="A33" s="38" t="str">
        <x:v>Kelvin: ☐</x:v>
      </x:c>
      <x:c r="B33" s="38" t="str">
        <x:v>Kelvin: ☐</x:v>
      </x:c>
      <x:c r="C33" s="38" t="str">
        <x:v>Kelvin: ☐</x:v>
      </x:c>
      <x:c r="D33" s="38" t="str">
        <x:v>Kelvin: ☐</x:v>
      </x:c>
      <x:c r="E33" s="38" t="str">
        <x:v>Kelvin: ☐</x:v>
      </x:c>
      <x:c r="F33"/>
    </x:row>
    <x:row r="34" ht="26.25" customHeight="1">
      <x:c r="A34" s="38" t="str">
        <x:v>Shirley: ☐</x:v>
      </x:c>
      <x:c r="B34" s="38" t="str">
        <x:v>Shirley: ☐</x:v>
      </x:c>
      <x:c r="C34" s="38" t="str">
        <x:v>Shirley: ☐</x:v>
      </x:c>
      <x:c r="D34" s="38" t="str">
        <x:v>Shirley: ☐</x:v>
      </x:c>
      <x:c r="E34" s="38" t="str">
        <x:v>Shirley: ☐</x:v>
      </x:c>
      <x:c r="F34"/>
    </x:row>
    <x:row r="35" ht="26.25" customHeight="1">
      <x:c r="A35" s="38" t="str">
        <x:v>Yarin: ☐</x:v>
      </x:c>
      <x:c r="B35" s="38" t="str">
        <x:v>Yarin: ☐</x:v>
      </x:c>
      <x:c r="C35" s="38" t="str">
        <x:v>Yarin: ☐</x:v>
      </x:c>
      <x:c r="D35" s="38" t="str">
        <x:v>Yarin: ☐</x:v>
      </x:c>
      <x:c r="E35" s="38" t="str">
        <x:v>Yarin: ☐</x:v>
      </x:c>
      <x:c r="F35"/>
    </x:row>
    <x:row r="36" ht="26.25" customHeight="1">
      <x:c r="A36" s="38" t="str">
        <x:f>IF('Summary'!$B$2="","Name pending: ☐",'Summary'!$B$2&amp;": ☐")</x:f>
        <x:v>Name pending: ☐</x:v>
      </x:c>
      <x:c r="B36" s="38" t="str">
        <x:f>IF('Summary'!$B$2="","Name pending: ☐",'Summary'!$B$2&amp;": ☐")</x:f>
        <x:v>Name pending: ☐</x:v>
      </x:c>
      <x:c r="C36" s="38" t="str">
        <x:f>IF('Summary'!$B$2="","Name pending: ☐",'Summary'!$B$2&amp;": ☐")</x:f>
        <x:v>Name pending: ☐</x:v>
      </x:c>
      <x:c r="D36" s="38" t="str">
        <x:f>IF('Summary'!$B$2="","Name pending: ☐",'Summary'!$B$2&amp;": ☐")</x:f>
        <x:v>Name pending: ☐</x:v>
      </x:c>
      <x:c r="E36" s="38" t="str">
        <x:f>IF('Summary'!$B$2="","Name pending: ☐",'Summary'!$B$2&amp;": ☐")</x:f>
        <x:v>Name pending: ☐</x:v>
      </x:c>
      <x:c r="F36"/>
    </x:row>
    <x:row r="37" ht="26.25" customHeight="1">
      <x:c r="A37" s="50" t="n">
        <x:f>IF(ISNUMBER(SEARCH("☑",A33)),8,0)+IF(ISNUMBER(SEARCH("☑",A34)),8,0)+IF(ISNUMBER(SEARCH("☑",A35)),8,0)+IF(ISNUMBER(SEARCH("☑",A36)),8,0)</x:f>
        <x:v>0</x:v>
      </x:c>
      <x:c r="B37" s="50" t="n">
        <x:f>IF(ISNUMBER(SEARCH("☑",B33)),8,0)+IF(ISNUMBER(SEARCH("☑",B34)),8,0)+IF(ISNUMBER(SEARCH("☑",B35)),8,0)+IF(ISNUMBER(SEARCH("☑",B36)),8,0)</x:f>
        <x:v>0</x:v>
      </x:c>
      <x:c r="C37" s="50" t="n">
        <x:f>IF(ISNUMBER(SEARCH("☑",C33)),8,0)+IF(ISNUMBER(SEARCH("☑",C34)),8,0)+IF(ISNUMBER(SEARCH("☑",C35)),8,0)+IF(ISNUMBER(SEARCH("☑",C36)),8,0)</x:f>
        <x:v>0</x:v>
      </x:c>
      <x:c r="D37" s="50" t="n">
        <x:f>IF(ISNUMBER(SEARCH("☑",D33)),8,0)+IF(ISNUMBER(SEARCH("☑",D34)),8,0)+IF(ISNUMBER(SEARCH("☑",D35)),8,0)+IF(ISNUMBER(SEARCH("☑",D36)),8,0)</x:f>
        <x:v>0</x:v>
      </x:c>
      <x:c r="E37" s="50" t="n">
        <x:f>IF(ISNUMBER(SEARCH("☑",E33)),8,0)+IF(ISNUMBER(SEARCH("☑",E34)),8,0)+IF(ISNUMBER(SEARCH("☑",E35)),8,0)+IF(ISNUMBER(SEARCH("☑",E36)),8,0)</x:f>
        <x:v>0</x:v>
      </x:c>
      <x:c r="F37"/>
    </x:row>
    <x:row r="38" ht="26.25" customHeight="1">
      <x:c r="A38"/>
      <x:c r="B38"/>
      <x:c r="C38"/>
      <x:c r="D38"/>
      <x:c r="E38"/>
      <x:c r="F38"/>
    </x:row>
    <x:row r="39" ht="26.25" customHeight="1">
      <x:c r="A39" s="58" t="n">
        <x:v>46265</x:v>
      </x:c>
      <x:c r="B39"/>
      <x:c r="C39"/>
      <x:c r="D39"/>
      <x:c r="E39"/>
      <x:c r="F39"/>
    </x:row>
    <x:row r="40" ht="26.25" customHeight="1">
      <x:c r="A40" s="38" t="str">
        <x:v>Kelvin: ☐</x:v>
      </x:c>
      <x:c r="B40"/>
      <x:c r="C40"/>
      <x:c r="D40"/>
      <x:c r="E40"/>
      <x:c r="F40"/>
    </x:row>
    <x:row r="41" ht="26.25" customHeight="1">
      <x:c r="A41" s="38" t="str">
        <x:v>Shirley: ☐</x:v>
      </x:c>
      <x:c r="B41"/>
      <x:c r="C41"/>
      <x:c r="D41"/>
      <x:c r="E41"/>
      <x:c r="F41"/>
    </x:row>
    <x:row r="42" ht="26.25" customHeight="1">
      <x:c r="A42" s="38" t="str">
        <x:v>Yarin: ☐</x:v>
      </x:c>
      <x:c r="B42"/>
      <x:c r="C42"/>
      <x:c r="D42"/>
      <x:c r="E42"/>
      <x:c r="F42"/>
    </x:row>
    <x:row r="43" ht="26.25" customHeight="1">
      <x:c r="A43" s="38" t="str">
        <x:f>IF('Summary'!$B$2="","Name pending: ☐",'Summary'!$B$2&amp;": ☐")</x:f>
        <x:v>Name pending: ☐</x:v>
      </x:c>
      <x:c r="B43"/>
      <x:c r="C43"/>
      <x:c r="D43"/>
      <x:c r="E43"/>
      <x:c r="F43"/>
    </x:row>
    <x:row r="44" ht="26.25" customHeight="1">
      <x:c r="A44" s="50" t="n">
        <x:f>IF(ISNUMBER(SEARCH("☑",A40)),8,0)+IF(ISNUMBER(SEARCH("☑",A41)),8,0)+IF(ISNUMBER(SEARCH("☑",A42)),8,0)+IF(ISNUMBER(SEARCH("☑",A43)),8,0)</x:f>
        <x:v>0</x:v>
      </x:c>
      <x:c r="B44"/>
      <x:c r="C44"/>
      <x:c r="D44"/>
      <x:c r="E44"/>
      <x:c r="F44"/>
    </x:row>
    <x:row r="45" ht="26.25" customHeight="1">
      <x:c r="A45"/>
      <x:c r="B45"/>
      <x:c r="C45"/>
      <x:c r="D45"/>
      <x:c r="E45"/>
      <x:c r="F45"/>
    </x:row>
    <x:row r="46" ht="13.5" customHeight="1">
      <x:c r="A46"/>
      <x:c r="B46"/>
      <x:c r="C46"/>
      <x:c r="D46"/>
      <x:c r="E46"/>
      <x:c r="F46"/>
    </x:row>
    <x:row r="47" ht="13.5" customHeight="1">
      <x:c r="A47" t="str">
        <x:v>Note: Daily total row counts all people together; weekly summary checks each person separately against 17 hours.</x:v>
      </x:c>
      <x:c r="B47"/>
      <x:c r="C47"/>
      <x:c r="D47"/>
      <x:c r="E47"/>
      <x:c r="F47"/>
    </x:row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1:G1"/>
    <x:mergeCell ref="A2:G2"/>
    <x:mergeCell ref="A47:E47"/>
  </x:mergeCells>
  <x:conditionalFormatting sqref="A12:E43">
    <x:cfRule type="expression" dxfId="12" priority="1">
      <x:formula>ISNUMBER(SEARCH("☑",A12))</x:formula>
    </x:cfRule>
  </x:conditionalFormatting>
  <x:conditionalFormatting sqref="H5:J10">
    <x:cfRule type="cellIs" dxfId="13" priority="2" operator="greaterThan">
      <x:formula>17</x:formula>
    </x:cfRule>
  </x:conditionalFormatting>
  <x:conditionalFormatting sqref="K5:K10">
    <x:cfRule type="cellIs" dxfId="14" priority="3" operator="greaterThan">
      <x:formula>17</x:formula>
    </x:cfRule>
  </x:conditionalFormatting>
  <x:conditionalFormatting sqref="L5:L10">
    <x:cfRule type="expression" dxfId="15" priority="4">
      <x:formula>L5="Over 17 hours"</x:formula>
    </x:cfRule>
  </x:conditionalFormatting>
  <x:dataValidations count="20">
    <x:dataValidation type="list" allowBlank="1" showDropDown="0" sqref="A12:E12">
      <x:formula1>"Kelvin: ☐,Kelvin: ☑,Kelvin: X"</x:formula1>
    </x:dataValidation>
    <x:dataValidation type="list" allowBlank="1" showDropDown="0" sqref="A13:E13">
      <x:formula1>"Shirley: ☐,Shirley: ☑,Shirley: X"</x:formula1>
    </x:dataValidation>
    <x:dataValidation type="list" allowBlank="1" showDropDown="0" sqref="A14:E14">
      <x:formula1>"Yarin: ☐,Yarin: ☑,Yarin: X"</x:formula1>
    </x:dataValidation>
    <x:dataValidation type="list" sqref="A15:E15">
      <x:formula1>$M$2:$M$5</x:formula1>
    </x:dataValidation>
    <x:dataValidation type="list" allowBlank="1" showDropDown="0" sqref="A19:E19">
      <x:formula1>"Kelvin: ☐,Kelvin: ☑,Kelvin: X"</x:formula1>
    </x:dataValidation>
    <x:dataValidation type="list" allowBlank="1" showDropDown="0" sqref="A20:E20">
      <x:formula1>"Shirley: ☐,Shirley: ☑,Shirley: X"</x:formula1>
    </x:dataValidation>
    <x:dataValidation type="list" allowBlank="1" showDropDown="0" sqref="A21:E21">
      <x:formula1>"Yarin: ☐,Yarin: ☑,Yarin: X"</x:formula1>
    </x:dataValidation>
    <x:dataValidation type="list" sqref="A22:E22">
      <x:formula1>$M$2:$M$5</x:formula1>
    </x:dataValidation>
    <x:dataValidation type="list" allowBlank="1" showDropDown="0" sqref="A26:E26">
      <x:formula1>"Kelvin: ☐,Kelvin: ☑,Kelvin: X"</x:formula1>
    </x:dataValidation>
    <x:dataValidation type="list" allowBlank="1" showDropDown="0" sqref="A27:E27">
      <x:formula1>"Shirley: ☐,Shirley: ☑,Shirley: X"</x:formula1>
    </x:dataValidation>
    <x:dataValidation type="list" allowBlank="1" showDropDown="0" sqref="A28:E28">
      <x:formula1>"Yarin: ☐,Yarin: ☑,Yarin: X"</x:formula1>
    </x:dataValidation>
    <x:dataValidation type="list" sqref="A29:E29">
      <x:formula1>$M$2:$M$5</x:formula1>
    </x:dataValidation>
    <x:dataValidation type="list" allowBlank="1" showDropDown="0" sqref="A33:E33">
      <x:formula1>"Kelvin: ☐,Kelvin: ☑,Kelvin: X"</x:formula1>
    </x:dataValidation>
    <x:dataValidation type="list" allowBlank="1" showDropDown="0" sqref="A34:E34">
      <x:formula1>"Shirley: ☐,Shirley: ☑,Shirley: X"</x:formula1>
    </x:dataValidation>
    <x:dataValidation type="list" allowBlank="1" showDropDown="0" sqref="A35:E35">
      <x:formula1>"Yarin: ☐,Yarin: ☑,Yarin: X"</x:formula1>
    </x:dataValidation>
    <x:dataValidation type="list" sqref="A36:E36">
      <x:formula1>$M$2:$M$5</x:formula1>
    </x:dataValidation>
    <x:dataValidation type="list" allowBlank="1" showDropDown="0" sqref="A40">
      <x:formula1>"Kelvin: ☐,Kelvin: ☑,Kelvin: X"</x:formula1>
    </x:dataValidation>
    <x:dataValidation type="list" allowBlank="1" showDropDown="0" sqref="A41">
      <x:formula1>"Shirley: ☐,Shirley: ☑,Shirley: X"</x:formula1>
    </x:dataValidation>
    <x:dataValidation type="list" allowBlank="1" showDropDown="0" sqref="A42">
      <x:formula1>"Yarin: ☐,Yarin: ☑,Yarin: X"</x:formula1>
    </x:dataValidation>
    <x:dataValidation type="list" sqref="A43">
      <x:formula1>$M$2:$M$5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10" customWidth="1"/>
    <x:col min="2" max="2" width="80" customWidth="1"/>
    <x:col min="3" max="26" width="8.880000114440918" customWidth="1"/>
  </x:cols>
  <x:sheetData>
    <x:row r="1" ht="13.5" customHeight="1">
      <x:c r="A1" s="1" t="s">
        <x:v>29</x:v>
      </x:c>
      <x:c r="B1" s="2"/>
      <x:c r="C1" s="2"/>
      <x:c r="D1" s="3"/>
    </x:row>
    <x:row r="2" ht="13.5" customHeight="1"/>
    <x:row r="3" ht="13.5" customHeight="1">
      <x:c r="A3" s="6" t="s">
        <x:v>30</x:v>
      </x:c>
      <x:c r="B3" s="6" t="s">
        <x:v>31</x:v>
      </x:c>
    </x:row>
    <x:row r="4" ht="13.5" customHeight="1">
      <x:c r="A4" s="12">
        <x:v>1.0</x:v>
      </x:c>
      <x:c r="B4" s="12" t="str">
        <x:v>On Summary, type the new worker's name in B2.</x:v>
      </x:c>
    </x:row>
    <x:row r="5" ht="13.5" customHeight="1">
      <x:c r="A5" s="12">
        <x:v>2.0</x:v>
      </x:c>
      <x:c r="B5" s="12" t="str">
        <x:v>For each workday, use the dropdown; the new worker can choose ☑ HHB or ☑ WFH.</x:v>
      </x:c>
    </x:row>
    <x:row r="6" ht="13.5" customHeight="1">
      <x:c r="A6" s="12">
        <x:v>3.0</x:v>
      </x:c>
      <x:c r="B6" s="12" t="s">
        <x:v>32</x:v>
      </x:c>
    </x:row>
    <x:row r="7" ht="13.5" customHeight="1">
      <x:c r="A7" s="12">
        <x:v>4.0</x:v>
      </x:c>
      <x:c r="B7" s="12" t="s">
        <x:v>33</x:v>
      </x:c>
    </x:row>
    <x:row r="8" ht="13.5" customHeight="1">
      <x:c r="A8" s="12">
        <x:v>5.0</x:v>
      </x:c>
      <x:c r="B8" s="12" t="s">
        <x:v>34</x:v>
      </x:c>
    </x:row>
    <x:row r="9" ht="13.5" customHeight="1"/>
    <x:row r="10" ht="13.5" customHeight="1"/>
    <x:row r="11" ht="13.5" customHeight="1"/>
    <x:row r="12" ht="13.5" customHeight="1"/>
    <x:row r="13" ht="13.5" customHeight="1"/>
    <x:row r="14" ht="13.5" customHeight="1"/>
    <x:row r="15" ht="13.5" customHeight="1"/>
    <x:row r="16" ht="13.5" customHeight="1"/>
    <x:row r="17" ht="13.5" customHeight="1"/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  <x:row r="101" ht="13.5" customHeight="1"/>
    <x:row r="102" ht="13.5" customHeight="1"/>
    <x:row r="103" ht="13.5" customHeight="1"/>
    <x:row r="104" ht="13.5" customHeight="1"/>
    <x:row r="105" ht="13.5" customHeight="1"/>
    <x:row r="106" ht="13.5" customHeight="1"/>
    <x:row r="107" ht="13.5" customHeight="1"/>
    <x:row r="108" ht="13.5" customHeight="1"/>
    <x:row r="109" ht="13.5" customHeight="1"/>
    <x:row r="110" ht="13.5" customHeight="1"/>
    <x:row r="111" ht="13.5" customHeight="1"/>
    <x:row r="112" ht="13.5" customHeight="1"/>
    <x:row r="113" ht="13.5" customHeight="1"/>
    <x:row r="114" ht="13.5" customHeight="1"/>
    <x:row r="115" ht="13.5" customHeight="1"/>
    <x:row r="116" ht="13.5" customHeight="1"/>
    <x:row r="117" ht="13.5" customHeight="1"/>
    <x:row r="118" ht="13.5" customHeight="1"/>
    <x:row r="119" ht="13.5" customHeight="1"/>
    <x:row r="120" ht="13.5" customHeight="1"/>
    <x:row r="121" ht="13.5" customHeight="1"/>
    <x:row r="122" ht="13.5" customHeight="1"/>
    <x:row r="123" ht="13.5" customHeight="1"/>
    <x:row r="124" ht="13.5" customHeight="1"/>
    <x:row r="125" ht="13.5" customHeight="1"/>
    <x:row r="126" ht="13.5" customHeight="1"/>
    <x:row r="127" ht="13.5" customHeight="1"/>
    <x:row r="128" ht="13.5" customHeight="1"/>
    <x:row r="129" ht="13.5" customHeight="1"/>
    <x:row r="130" ht="13.5" customHeight="1"/>
    <x:row r="131" ht="13.5" customHeight="1"/>
    <x:row r="132" ht="13.5" customHeight="1"/>
    <x:row r="133" ht="13.5" customHeight="1"/>
    <x:row r="134" ht="13.5" customHeight="1"/>
    <x:row r="135" ht="13.5" customHeight="1"/>
    <x:row r="136" ht="13.5" customHeight="1"/>
    <x:row r="137" ht="13.5" customHeight="1"/>
    <x:row r="138" ht="13.5" customHeight="1"/>
    <x:row r="139" ht="13.5" customHeight="1"/>
    <x:row r="140" ht="13.5" customHeight="1"/>
    <x:row r="141" ht="13.5" customHeight="1"/>
    <x:row r="142" ht="13.5" customHeight="1"/>
    <x:row r="143" ht="13.5" customHeight="1"/>
    <x:row r="144" ht="13.5" customHeight="1"/>
    <x:row r="145" ht="13.5" customHeight="1"/>
    <x:row r="146" ht="13.5" customHeight="1"/>
    <x:row r="147" ht="13.5" customHeight="1"/>
    <x:row r="148" ht="13.5" customHeight="1"/>
    <x:row r="149" ht="13.5" customHeight="1"/>
    <x:row r="150" ht="13.5" customHeight="1"/>
    <x:row r="151" ht="13.5" customHeight="1"/>
    <x:row r="152" ht="13.5" customHeight="1"/>
    <x:row r="153" ht="13.5" customHeight="1"/>
    <x:row r="154" ht="13.5" customHeight="1"/>
    <x:row r="155" ht="13.5" customHeight="1"/>
    <x:row r="156" ht="13.5" customHeight="1"/>
    <x:row r="157" ht="13.5" customHeight="1"/>
    <x:row r="158" ht="13.5" customHeight="1"/>
    <x:row r="159" ht="13.5" customHeight="1"/>
    <x:row r="160" ht="13.5" customHeight="1"/>
    <x:row r="161" ht="13.5" customHeight="1"/>
    <x:row r="162" ht="13.5" customHeight="1"/>
    <x:row r="163" ht="13.5" customHeight="1"/>
    <x:row r="164" ht="13.5" customHeight="1"/>
    <x:row r="165" ht="13.5" customHeight="1"/>
    <x:row r="166" ht="13.5" customHeight="1"/>
    <x:row r="167" ht="13.5" customHeight="1"/>
    <x:row r="168" ht="13.5" customHeight="1"/>
    <x:row r="169" ht="13.5" customHeight="1"/>
    <x:row r="170" ht="13.5" customHeight="1"/>
    <x:row r="171" ht="13.5" customHeight="1"/>
    <x:row r="172" ht="13.5" customHeight="1"/>
    <x:row r="173" ht="13.5" customHeight="1"/>
    <x:row r="174" ht="13.5" customHeight="1"/>
    <x:row r="175" ht="13.5" customHeight="1"/>
    <x:row r="176" ht="13.5" customHeight="1"/>
    <x:row r="177" ht="13.5" customHeight="1"/>
    <x:row r="178" ht="13.5" customHeight="1"/>
    <x:row r="179" ht="13.5" customHeight="1"/>
    <x:row r="180" ht="13.5" customHeight="1"/>
    <x:row r="181" ht="13.5" customHeight="1"/>
    <x:row r="182" ht="13.5" customHeight="1"/>
    <x:row r="183" ht="13.5" customHeight="1"/>
    <x:row r="184" ht="13.5" customHeight="1"/>
    <x:row r="185" ht="13.5" customHeight="1"/>
    <x:row r="186" ht="13.5" customHeight="1"/>
    <x:row r="187" ht="13.5" customHeight="1"/>
    <x:row r="188" ht="13.5" customHeight="1"/>
    <x:row r="189" ht="13.5" customHeight="1"/>
    <x:row r="190" ht="13.5" customHeight="1"/>
    <x:row r="191" ht="13.5" customHeight="1"/>
    <x:row r="192" ht="13.5" customHeight="1"/>
    <x:row r="193" ht="13.5" customHeight="1"/>
    <x:row r="194" ht="13.5" customHeight="1"/>
    <x:row r="195" ht="13.5" customHeight="1"/>
    <x:row r="196" ht="13.5" customHeight="1"/>
    <x:row r="197" ht="13.5" customHeight="1"/>
    <x:row r="198" ht="13.5" customHeight="1"/>
    <x:row r="199" ht="13.5" customHeight="1"/>
    <x:row r="200" ht="13.5" customHeight="1"/>
    <x:row r="201" ht="13.5" customHeight="1"/>
    <x:row r="202" ht="13.5" customHeight="1"/>
    <x:row r="203" ht="13.5" customHeight="1"/>
    <x:row r="204" ht="13.5" customHeight="1"/>
    <x:row r="205" ht="13.5" customHeight="1"/>
    <x:row r="206" ht="13.5" customHeight="1"/>
    <x:row r="207" ht="13.5" customHeight="1"/>
    <x:row r="208" ht="13.5" customHeight="1"/>
    <x:row r="209" ht="13.5" customHeight="1"/>
    <x:row r="210" ht="13.5" customHeight="1"/>
    <x:row r="211" ht="13.5" customHeight="1"/>
    <x:row r="212" ht="13.5" customHeight="1"/>
    <x:row r="213" ht="13.5" customHeight="1"/>
    <x:row r="214" ht="13.5" customHeight="1"/>
    <x:row r="215" ht="13.5" customHeight="1"/>
    <x:row r="216" ht="13.5" customHeight="1"/>
    <x:row r="217" ht="13.5" customHeight="1"/>
    <x:row r="218" ht="13.5" customHeight="1"/>
    <x:row r="219" ht="13.5" customHeight="1"/>
    <x:row r="220" ht="13.5" customHeight="1"/>
    <x:row r="221" ht="13.5" customHeight="1"/>
    <x:row r="222" ht="13.5" customHeight="1"/>
    <x:row r="223" ht="13.5" customHeight="1"/>
    <x:row r="224" ht="13.5" customHeight="1"/>
    <x:row r="225" ht="13.5" customHeight="1"/>
    <x:row r="226" ht="13.5" customHeight="1"/>
    <x:row r="227" ht="13.5" customHeight="1"/>
    <x:row r="228" ht="13.5" customHeight="1"/>
    <x:row r="229" ht="13.5" customHeight="1"/>
    <x:row r="230" ht="13.5" customHeight="1"/>
    <x:row r="231" ht="13.5" customHeight="1"/>
    <x:row r="232" ht="13.5" customHeight="1"/>
    <x:row r="233" ht="13.5" customHeight="1"/>
    <x:row r="234" ht="13.5" customHeight="1"/>
    <x:row r="235" ht="13.5" customHeight="1"/>
    <x:row r="236" ht="13.5" customHeight="1"/>
    <x:row r="237" ht="13.5" customHeight="1"/>
    <x:row r="238" ht="13.5" customHeight="1"/>
    <x:row r="239" ht="13.5" customHeight="1"/>
    <x:row r="240" ht="13.5" customHeight="1"/>
    <x:row r="241" ht="13.5" customHeight="1"/>
    <x:row r="242" ht="13.5" customHeight="1"/>
    <x:row r="243" ht="13.5" customHeight="1"/>
    <x:row r="244" ht="13.5" customHeight="1"/>
    <x:row r="245" ht="13.5" customHeight="1"/>
    <x:row r="246" ht="13.5" customHeight="1"/>
    <x:row r="247" ht="13.5" customHeight="1"/>
    <x:row r="248" ht="13.5" customHeight="1"/>
    <x:row r="249" ht="13.5" customHeight="1"/>
    <x:row r="250" ht="13.5" customHeight="1"/>
    <x:row r="251" ht="13.5" customHeight="1"/>
    <x:row r="252" ht="13.5" customHeight="1"/>
    <x:row r="253" ht="13.5" customHeight="1"/>
    <x:row r="254" ht="13.5" customHeight="1"/>
    <x:row r="255" ht="13.5" customHeight="1"/>
    <x:row r="256" ht="13.5" customHeight="1"/>
    <x:row r="257" ht="13.5" customHeight="1"/>
    <x:row r="258" ht="13.5" customHeight="1"/>
    <x:row r="259" ht="13.5" customHeight="1"/>
    <x:row r="260" ht="13.5" customHeight="1"/>
    <x:row r="261" ht="13.5" customHeight="1"/>
    <x:row r="262" ht="13.5" customHeight="1"/>
    <x:row r="263" ht="13.5" customHeight="1"/>
    <x:row r="264" ht="13.5" customHeight="1"/>
    <x:row r="265" ht="13.5" customHeight="1"/>
    <x:row r="266" ht="13.5" customHeight="1"/>
    <x:row r="267" ht="13.5" customHeight="1"/>
    <x:row r="268" ht="13.5" customHeight="1"/>
    <x:row r="269" ht="13.5" customHeight="1"/>
    <x:row r="270" ht="13.5" customHeight="1"/>
    <x:row r="271" ht="13.5" customHeight="1"/>
    <x:row r="272" ht="13.5" customHeight="1"/>
    <x:row r="273" ht="13.5" customHeight="1"/>
    <x:row r="274" ht="13.5" customHeight="1"/>
    <x:row r="275" ht="13.5" customHeight="1"/>
    <x:row r="276" ht="13.5" customHeight="1"/>
    <x:row r="277" ht="13.5" customHeight="1"/>
    <x:row r="278" ht="13.5" customHeight="1"/>
    <x:row r="279" ht="13.5" customHeight="1"/>
    <x:row r="280" ht="13.5" customHeight="1"/>
    <x:row r="281" ht="13.5" customHeight="1"/>
    <x:row r="282" ht="13.5" customHeight="1"/>
    <x:row r="283" ht="13.5" customHeight="1"/>
    <x:row r="284" ht="13.5" customHeight="1"/>
    <x:row r="285" ht="13.5" customHeight="1"/>
    <x:row r="286" ht="13.5" customHeight="1"/>
    <x:row r="287" ht="13.5" customHeight="1"/>
    <x:row r="288" ht="13.5" customHeight="1"/>
    <x:row r="289" ht="13.5" customHeight="1"/>
    <x:row r="290" ht="13.5" customHeight="1"/>
    <x:row r="291" ht="13.5" customHeight="1"/>
    <x:row r="292" ht="13.5" customHeight="1"/>
    <x:row r="293" ht="13.5" customHeight="1"/>
    <x:row r="294" ht="13.5" customHeight="1"/>
    <x:row r="295" ht="13.5" customHeight="1"/>
    <x:row r="296" ht="13.5" customHeight="1"/>
    <x:row r="297" ht="13.5" customHeight="1"/>
    <x:row r="298" ht="13.5" customHeight="1"/>
    <x:row r="299" ht="13.5" customHeight="1"/>
    <x:row r="300" ht="13.5" customHeight="1"/>
    <x:row r="301" ht="13.5" customHeight="1"/>
    <x:row r="302" ht="13.5" customHeight="1"/>
    <x:row r="303" ht="13.5" customHeight="1"/>
    <x:row r="304" ht="13.5" customHeight="1"/>
    <x:row r="305" ht="13.5" customHeight="1"/>
    <x:row r="306" ht="13.5" customHeight="1"/>
    <x:row r="307" ht="13.5" customHeight="1"/>
    <x:row r="308" ht="13.5" customHeight="1"/>
    <x:row r="309" ht="13.5" customHeight="1"/>
    <x:row r="310" ht="13.5" customHeight="1"/>
    <x:row r="311" ht="13.5" customHeight="1"/>
    <x:row r="312" ht="13.5" customHeight="1"/>
    <x:row r="313" ht="13.5" customHeight="1"/>
    <x:row r="314" ht="13.5" customHeight="1"/>
    <x:row r="315" ht="13.5" customHeight="1"/>
    <x:row r="316" ht="13.5" customHeight="1"/>
    <x:row r="317" ht="13.5" customHeight="1"/>
    <x:row r="318" ht="13.5" customHeight="1"/>
    <x:row r="319" ht="13.5" customHeight="1"/>
    <x:row r="320" ht="13.5" customHeight="1"/>
    <x:row r="321" ht="13.5" customHeight="1"/>
    <x:row r="322" ht="13.5" customHeight="1"/>
    <x:row r="323" ht="13.5" customHeight="1"/>
    <x:row r="324" ht="13.5" customHeight="1"/>
    <x:row r="325" ht="13.5" customHeight="1"/>
    <x:row r="326" ht="13.5" customHeight="1"/>
    <x:row r="327" ht="13.5" customHeight="1"/>
    <x:row r="328" ht="13.5" customHeight="1"/>
    <x:row r="329" ht="13.5" customHeight="1"/>
    <x:row r="330" ht="13.5" customHeight="1"/>
    <x:row r="331" ht="13.5" customHeight="1"/>
    <x:row r="332" ht="13.5" customHeight="1"/>
    <x:row r="333" ht="13.5" customHeight="1"/>
    <x:row r="334" ht="13.5" customHeight="1"/>
    <x:row r="335" ht="13.5" customHeight="1"/>
    <x:row r="336" ht="13.5" customHeight="1"/>
    <x:row r="337" ht="13.5" customHeight="1"/>
    <x:row r="338" ht="13.5" customHeight="1"/>
    <x:row r="339" ht="13.5" customHeight="1"/>
    <x:row r="340" ht="13.5" customHeight="1"/>
    <x:row r="341" ht="13.5" customHeight="1"/>
    <x:row r="342" ht="13.5" customHeight="1"/>
    <x:row r="343" ht="13.5" customHeight="1"/>
    <x:row r="344" ht="13.5" customHeight="1"/>
    <x:row r="345" ht="13.5" customHeight="1"/>
    <x:row r="346" ht="13.5" customHeight="1"/>
    <x:row r="347" ht="13.5" customHeight="1"/>
    <x:row r="348" ht="13.5" customHeight="1"/>
    <x:row r="349" ht="13.5" customHeight="1"/>
    <x:row r="350" ht="13.5" customHeight="1"/>
    <x:row r="351" ht="13.5" customHeight="1"/>
    <x:row r="352" ht="13.5" customHeight="1"/>
    <x:row r="353" ht="13.5" customHeight="1"/>
    <x:row r="354" ht="13.5" customHeight="1"/>
    <x:row r="355" ht="13.5" customHeight="1"/>
    <x:row r="356" ht="13.5" customHeight="1"/>
    <x:row r="357" ht="13.5" customHeight="1"/>
    <x:row r="358" ht="13.5" customHeight="1"/>
    <x:row r="359" ht="13.5" customHeight="1"/>
    <x:row r="360" ht="13.5" customHeight="1"/>
    <x:row r="361" ht="13.5" customHeight="1"/>
    <x:row r="362" ht="13.5" customHeight="1"/>
    <x:row r="363" ht="13.5" customHeight="1"/>
    <x:row r="364" ht="13.5" customHeight="1"/>
    <x:row r="365" ht="13.5" customHeight="1"/>
    <x:row r="366" ht="13.5" customHeight="1"/>
    <x:row r="367" ht="13.5" customHeight="1"/>
    <x:row r="368" ht="13.5" customHeight="1"/>
    <x:row r="369" ht="13.5" customHeight="1"/>
    <x:row r="370" ht="13.5" customHeight="1"/>
    <x:row r="371" ht="13.5" customHeight="1"/>
    <x:row r="372" ht="13.5" customHeight="1"/>
    <x:row r="373" ht="13.5" customHeight="1"/>
    <x:row r="374" ht="13.5" customHeight="1"/>
    <x:row r="375" ht="13.5" customHeight="1"/>
    <x:row r="376" ht="13.5" customHeight="1"/>
    <x:row r="377" ht="13.5" customHeight="1"/>
    <x:row r="378" ht="13.5" customHeight="1"/>
    <x:row r="379" ht="13.5" customHeight="1"/>
    <x:row r="380" ht="13.5" customHeight="1"/>
    <x:row r="381" ht="13.5" customHeight="1"/>
    <x:row r="382" ht="13.5" customHeight="1"/>
    <x:row r="383" ht="13.5" customHeight="1"/>
    <x:row r="384" ht="13.5" customHeight="1"/>
    <x:row r="385" ht="13.5" customHeight="1"/>
    <x:row r="386" ht="13.5" customHeight="1"/>
    <x:row r="387" ht="13.5" customHeight="1"/>
    <x:row r="388" ht="13.5" customHeight="1"/>
    <x:row r="389" ht="13.5" customHeight="1"/>
    <x:row r="390" ht="13.5" customHeight="1"/>
    <x:row r="391" ht="13.5" customHeight="1"/>
    <x:row r="392" ht="13.5" customHeight="1"/>
    <x:row r="393" ht="13.5" customHeight="1"/>
    <x:row r="394" ht="13.5" customHeight="1"/>
    <x:row r="395" ht="13.5" customHeight="1"/>
    <x:row r="396" ht="13.5" customHeight="1"/>
    <x:row r="397" ht="13.5" customHeight="1"/>
    <x:row r="398" ht="13.5" customHeight="1"/>
    <x:row r="399" ht="13.5" customHeight="1"/>
    <x:row r="400" ht="13.5" customHeight="1"/>
    <x:row r="401" ht="13.5" customHeight="1"/>
    <x:row r="402" ht="13.5" customHeight="1"/>
    <x:row r="403" ht="13.5" customHeight="1"/>
    <x:row r="404" ht="13.5" customHeight="1"/>
    <x:row r="405" ht="13.5" customHeight="1"/>
    <x:row r="406" ht="13.5" customHeight="1"/>
    <x:row r="407" ht="13.5" customHeight="1"/>
    <x:row r="408" ht="13.5" customHeight="1"/>
    <x:row r="409" ht="13.5" customHeight="1"/>
    <x:row r="410" ht="13.5" customHeight="1"/>
    <x:row r="411" ht="13.5" customHeight="1"/>
    <x:row r="412" ht="13.5" customHeight="1"/>
    <x:row r="413" ht="13.5" customHeight="1"/>
    <x:row r="414" ht="13.5" customHeight="1"/>
    <x:row r="415" ht="13.5" customHeight="1"/>
    <x:row r="416" ht="13.5" customHeight="1"/>
    <x:row r="417" ht="13.5" customHeight="1"/>
    <x:row r="418" ht="13.5" customHeight="1"/>
    <x:row r="419" ht="13.5" customHeight="1"/>
    <x:row r="420" ht="13.5" customHeight="1"/>
    <x:row r="421" ht="13.5" customHeight="1"/>
    <x:row r="422" ht="13.5" customHeight="1"/>
    <x:row r="423" ht="13.5" customHeight="1"/>
    <x:row r="424" ht="13.5" customHeight="1"/>
    <x:row r="425" ht="13.5" customHeight="1"/>
    <x:row r="426" ht="13.5" customHeight="1"/>
    <x:row r="427" ht="13.5" customHeight="1"/>
    <x:row r="428" ht="13.5" customHeight="1"/>
    <x:row r="429" ht="13.5" customHeight="1"/>
    <x:row r="430" ht="13.5" customHeight="1"/>
    <x:row r="431" ht="13.5" customHeight="1"/>
    <x:row r="432" ht="13.5" customHeight="1"/>
    <x:row r="433" ht="13.5" customHeight="1"/>
    <x:row r="434" ht="13.5" customHeight="1"/>
    <x:row r="435" ht="13.5" customHeight="1"/>
    <x:row r="436" ht="13.5" customHeight="1"/>
    <x:row r="437" ht="13.5" customHeight="1"/>
    <x:row r="438" ht="13.5" customHeight="1"/>
    <x:row r="439" ht="13.5" customHeight="1"/>
    <x:row r="440" ht="13.5" customHeight="1"/>
    <x:row r="441" ht="13.5" customHeight="1"/>
    <x:row r="442" ht="13.5" customHeight="1"/>
    <x:row r="443" ht="13.5" customHeight="1"/>
    <x:row r="444" ht="13.5" customHeight="1"/>
    <x:row r="445" ht="13.5" customHeight="1"/>
    <x:row r="446" ht="13.5" customHeight="1"/>
    <x:row r="447" ht="13.5" customHeight="1"/>
    <x:row r="448" ht="13.5" customHeight="1"/>
    <x:row r="449" ht="13.5" customHeight="1"/>
    <x:row r="450" ht="13.5" customHeight="1"/>
    <x:row r="451" ht="13.5" customHeight="1"/>
    <x:row r="452" ht="13.5" customHeight="1"/>
    <x:row r="453" ht="13.5" customHeight="1"/>
    <x:row r="454" ht="13.5" customHeight="1"/>
    <x:row r="455" ht="13.5" customHeight="1"/>
    <x:row r="456" ht="13.5" customHeight="1"/>
    <x:row r="457" ht="13.5" customHeight="1"/>
    <x:row r="458" ht="13.5" customHeight="1"/>
    <x:row r="459" ht="13.5" customHeight="1"/>
    <x:row r="460" ht="13.5" customHeight="1"/>
    <x:row r="461" ht="13.5" customHeight="1"/>
    <x:row r="462" ht="13.5" customHeight="1"/>
    <x:row r="463" ht="13.5" customHeight="1"/>
    <x:row r="464" ht="13.5" customHeight="1"/>
    <x:row r="465" ht="13.5" customHeight="1"/>
    <x:row r="466" ht="13.5" customHeight="1"/>
    <x:row r="467" ht="13.5" customHeight="1"/>
    <x:row r="468" ht="13.5" customHeight="1"/>
    <x:row r="469" ht="13.5" customHeight="1"/>
    <x:row r="470" ht="13.5" customHeight="1"/>
    <x:row r="471" ht="13.5" customHeight="1"/>
    <x:row r="472" ht="13.5" customHeight="1"/>
    <x:row r="473" ht="13.5" customHeight="1"/>
    <x:row r="474" ht="13.5" customHeight="1"/>
    <x:row r="475" ht="13.5" customHeight="1"/>
    <x:row r="476" ht="13.5" customHeight="1"/>
    <x:row r="477" ht="13.5" customHeight="1"/>
    <x:row r="478" ht="13.5" customHeight="1"/>
    <x:row r="479" ht="13.5" customHeight="1"/>
    <x:row r="480" ht="13.5" customHeight="1"/>
    <x:row r="481" ht="13.5" customHeight="1"/>
    <x:row r="482" ht="13.5" customHeight="1"/>
    <x:row r="483" ht="13.5" customHeight="1"/>
    <x:row r="484" ht="13.5" customHeight="1"/>
    <x:row r="485" ht="13.5" customHeight="1"/>
    <x:row r="486" ht="13.5" customHeight="1"/>
    <x:row r="487" ht="13.5" customHeight="1"/>
    <x:row r="488" ht="13.5" customHeight="1"/>
    <x:row r="489" ht="13.5" customHeight="1"/>
    <x:row r="490" ht="13.5" customHeight="1"/>
    <x:row r="491" ht="13.5" customHeight="1"/>
    <x:row r="492" ht="13.5" customHeight="1"/>
    <x:row r="493" ht="13.5" customHeight="1"/>
    <x:row r="494" ht="13.5" customHeight="1"/>
    <x:row r="495" ht="13.5" customHeight="1"/>
    <x:row r="496" ht="13.5" customHeight="1"/>
    <x:row r="497" ht="13.5" customHeight="1"/>
    <x:row r="498" ht="13.5" customHeight="1"/>
    <x:row r="499" ht="13.5" customHeight="1"/>
    <x:row r="500" ht="13.5" customHeight="1"/>
    <x:row r="501" ht="13.5" customHeight="1"/>
    <x:row r="502" ht="13.5" customHeight="1"/>
    <x:row r="503" ht="13.5" customHeight="1"/>
    <x:row r="504" ht="13.5" customHeight="1"/>
    <x:row r="505" ht="13.5" customHeight="1"/>
    <x:row r="506" ht="13.5" customHeight="1"/>
    <x:row r="507" ht="13.5" customHeight="1"/>
    <x:row r="508" ht="13.5" customHeight="1"/>
    <x:row r="509" ht="13.5" customHeight="1"/>
    <x:row r="510" ht="13.5" customHeight="1"/>
    <x:row r="511" ht="13.5" customHeight="1"/>
    <x:row r="512" ht="13.5" customHeight="1"/>
    <x:row r="513" ht="13.5" customHeight="1"/>
    <x:row r="514" ht="13.5" customHeight="1"/>
    <x:row r="515" ht="13.5" customHeight="1"/>
    <x:row r="516" ht="13.5" customHeight="1"/>
    <x:row r="517" ht="13.5" customHeight="1"/>
    <x:row r="518" ht="13.5" customHeight="1"/>
    <x:row r="519" ht="13.5" customHeight="1"/>
    <x:row r="520" ht="13.5" customHeight="1"/>
    <x:row r="521" ht="13.5" customHeight="1"/>
    <x:row r="522" ht="13.5" customHeight="1"/>
    <x:row r="523" ht="13.5" customHeight="1"/>
    <x:row r="524" ht="13.5" customHeight="1"/>
    <x:row r="525" ht="13.5" customHeight="1"/>
    <x:row r="526" ht="13.5" customHeight="1"/>
    <x:row r="527" ht="13.5" customHeight="1"/>
    <x:row r="528" ht="13.5" customHeight="1"/>
    <x:row r="529" ht="13.5" customHeight="1"/>
    <x:row r="530" ht="13.5" customHeight="1"/>
    <x:row r="531" ht="13.5" customHeight="1"/>
    <x:row r="532" ht="13.5" customHeight="1"/>
    <x:row r="533" ht="13.5" customHeight="1"/>
    <x:row r="534" ht="13.5" customHeight="1"/>
    <x:row r="535" ht="13.5" customHeight="1"/>
    <x:row r="536" ht="13.5" customHeight="1"/>
    <x:row r="537" ht="13.5" customHeight="1"/>
    <x:row r="538" ht="13.5" customHeight="1"/>
    <x:row r="539" ht="13.5" customHeight="1"/>
    <x:row r="540" ht="13.5" customHeight="1"/>
    <x:row r="541" ht="13.5" customHeight="1"/>
    <x:row r="542" ht="13.5" customHeight="1"/>
    <x:row r="543" ht="13.5" customHeight="1"/>
    <x:row r="544" ht="13.5" customHeight="1"/>
    <x:row r="545" ht="13.5" customHeight="1"/>
    <x:row r="546" ht="13.5" customHeight="1"/>
    <x:row r="547" ht="13.5" customHeight="1"/>
    <x:row r="548" ht="13.5" customHeight="1"/>
    <x:row r="549" ht="13.5" customHeight="1"/>
    <x:row r="550" ht="13.5" customHeight="1"/>
    <x:row r="551" ht="13.5" customHeight="1"/>
    <x:row r="552" ht="13.5" customHeight="1"/>
    <x:row r="553" ht="13.5" customHeight="1"/>
    <x:row r="554" ht="13.5" customHeight="1"/>
    <x:row r="555" ht="13.5" customHeight="1"/>
    <x:row r="556" ht="13.5" customHeight="1"/>
    <x:row r="557" ht="13.5" customHeight="1"/>
    <x:row r="558" ht="13.5" customHeight="1"/>
    <x:row r="559" ht="13.5" customHeight="1"/>
    <x:row r="560" ht="13.5" customHeight="1"/>
    <x:row r="561" ht="13.5" customHeight="1"/>
    <x:row r="562" ht="13.5" customHeight="1"/>
    <x:row r="563" ht="13.5" customHeight="1"/>
    <x:row r="564" ht="13.5" customHeight="1"/>
    <x:row r="565" ht="13.5" customHeight="1"/>
    <x:row r="566" ht="13.5" customHeight="1"/>
    <x:row r="567" ht="13.5" customHeight="1"/>
    <x:row r="568" ht="13.5" customHeight="1"/>
    <x:row r="569" ht="13.5" customHeight="1"/>
    <x:row r="570" ht="13.5" customHeight="1"/>
    <x:row r="571" ht="13.5" customHeight="1"/>
    <x:row r="572" ht="13.5" customHeight="1"/>
    <x:row r="573" ht="13.5" customHeight="1"/>
    <x:row r="574" ht="13.5" customHeight="1"/>
    <x:row r="575" ht="13.5" customHeight="1"/>
    <x:row r="576" ht="13.5" customHeight="1"/>
    <x:row r="577" ht="13.5" customHeight="1"/>
    <x:row r="578" ht="13.5" customHeight="1"/>
    <x:row r="579" ht="13.5" customHeight="1"/>
    <x:row r="580" ht="13.5" customHeight="1"/>
    <x:row r="581" ht="13.5" customHeight="1"/>
    <x:row r="582" ht="13.5" customHeight="1"/>
    <x:row r="583" ht="13.5" customHeight="1"/>
    <x:row r="584" ht="13.5" customHeight="1"/>
    <x:row r="585" ht="13.5" customHeight="1"/>
    <x:row r="586" ht="13.5" customHeight="1"/>
    <x:row r="587" ht="13.5" customHeight="1"/>
    <x:row r="588" ht="13.5" customHeight="1"/>
    <x:row r="589" ht="13.5" customHeight="1"/>
    <x:row r="590" ht="13.5" customHeight="1"/>
    <x:row r="591" ht="13.5" customHeight="1"/>
    <x:row r="592" ht="13.5" customHeight="1"/>
    <x:row r="593" ht="13.5" customHeight="1"/>
    <x:row r="594" ht="13.5" customHeight="1"/>
    <x:row r="595" ht="13.5" customHeight="1"/>
    <x:row r="596" ht="13.5" customHeight="1"/>
    <x:row r="597" ht="13.5" customHeight="1"/>
    <x:row r="598" ht="13.5" customHeight="1"/>
    <x:row r="599" ht="13.5" customHeight="1"/>
    <x:row r="600" ht="13.5" customHeight="1"/>
    <x:row r="601" ht="13.5" customHeight="1"/>
    <x:row r="602" ht="13.5" customHeight="1"/>
    <x:row r="603" ht="13.5" customHeight="1"/>
    <x:row r="604" ht="13.5" customHeight="1"/>
    <x:row r="605" ht="13.5" customHeight="1"/>
    <x:row r="606" ht="13.5" customHeight="1"/>
    <x:row r="607" ht="13.5" customHeight="1"/>
    <x:row r="608" ht="13.5" customHeight="1"/>
    <x:row r="609" ht="13.5" customHeight="1"/>
    <x:row r="610" ht="13.5" customHeight="1"/>
    <x:row r="611" ht="13.5" customHeight="1"/>
    <x:row r="612" ht="13.5" customHeight="1"/>
    <x:row r="613" ht="13.5" customHeight="1"/>
    <x:row r="614" ht="13.5" customHeight="1"/>
    <x:row r="615" ht="13.5" customHeight="1"/>
    <x:row r="616" ht="13.5" customHeight="1"/>
    <x:row r="617" ht="13.5" customHeight="1"/>
    <x:row r="618" ht="13.5" customHeight="1"/>
    <x:row r="619" ht="13.5" customHeight="1"/>
    <x:row r="620" ht="13.5" customHeight="1"/>
    <x:row r="621" ht="13.5" customHeight="1"/>
    <x:row r="622" ht="13.5" customHeight="1"/>
    <x:row r="623" ht="13.5" customHeight="1"/>
    <x:row r="624" ht="13.5" customHeight="1"/>
    <x:row r="625" ht="13.5" customHeight="1"/>
    <x:row r="626" ht="13.5" customHeight="1"/>
    <x:row r="627" ht="13.5" customHeight="1"/>
    <x:row r="628" ht="13.5" customHeight="1"/>
    <x:row r="629" ht="13.5" customHeight="1"/>
    <x:row r="630" ht="13.5" customHeight="1"/>
    <x:row r="631" ht="13.5" customHeight="1"/>
    <x:row r="632" ht="13.5" customHeight="1"/>
    <x:row r="633" ht="13.5" customHeight="1"/>
    <x:row r="634" ht="13.5" customHeight="1"/>
    <x:row r="635" ht="13.5" customHeight="1"/>
    <x:row r="636" ht="13.5" customHeight="1"/>
    <x:row r="637" ht="13.5" customHeight="1"/>
    <x:row r="638" ht="13.5" customHeight="1"/>
    <x:row r="639" ht="13.5" customHeight="1"/>
    <x:row r="640" ht="13.5" customHeight="1"/>
    <x:row r="641" ht="13.5" customHeight="1"/>
    <x:row r="642" ht="13.5" customHeight="1"/>
    <x:row r="643" ht="13.5" customHeight="1"/>
    <x:row r="644" ht="13.5" customHeight="1"/>
    <x:row r="645" ht="13.5" customHeight="1"/>
    <x:row r="646" ht="13.5" customHeight="1"/>
    <x:row r="647" ht="13.5" customHeight="1"/>
    <x:row r="648" ht="13.5" customHeight="1"/>
    <x:row r="649" ht="13.5" customHeight="1"/>
    <x:row r="650" ht="13.5" customHeight="1"/>
    <x:row r="651" ht="13.5" customHeight="1"/>
    <x:row r="652" ht="13.5" customHeight="1"/>
    <x:row r="653" ht="13.5" customHeight="1"/>
    <x:row r="654" ht="13.5" customHeight="1"/>
    <x:row r="655" ht="13.5" customHeight="1"/>
    <x:row r="656" ht="13.5" customHeight="1"/>
    <x:row r="657" ht="13.5" customHeight="1"/>
    <x:row r="658" ht="13.5" customHeight="1"/>
    <x:row r="659" ht="13.5" customHeight="1"/>
    <x:row r="660" ht="13.5" customHeight="1"/>
    <x:row r="661" ht="13.5" customHeight="1"/>
    <x:row r="662" ht="13.5" customHeight="1"/>
    <x:row r="663" ht="13.5" customHeight="1"/>
    <x:row r="664" ht="13.5" customHeight="1"/>
    <x:row r="665" ht="13.5" customHeight="1"/>
    <x:row r="666" ht="13.5" customHeight="1"/>
    <x:row r="667" ht="13.5" customHeight="1"/>
    <x:row r="668" ht="13.5" customHeight="1"/>
    <x:row r="669" ht="13.5" customHeight="1"/>
    <x:row r="670" ht="13.5" customHeight="1"/>
    <x:row r="671" ht="13.5" customHeight="1"/>
    <x:row r="672" ht="13.5" customHeight="1"/>
    <x:row r="673" ht="13.5" customHeight="1"/>
    <x:row r="674" ht="13.5" customHeight="1"/>
    <x:row r="675" ht="13.5" customHeight="1"/>
    <x:row r="676" ht="13.5" customHeight="1"/>
    <x:row r="677" ht="13.5" customHeight="1"/>
    <x:row r="678" ht="13.5" customHeight="1"/>
    <x:row r="679" ht="13.5" customHeight="1"/>
    <x:row r="680" ht="13.5" customHeight="1"/>
    <x:row r="681" ht="13.5" customHeight="1"/>
    <x:row r="682" ht="13.5" customHeight="1"/>
    <x:row r="683" ht="13.5" customHeight="1"/>
    <x:row r="684" ht="13.5" customHeight="1"/>
    <x:row r="685" ht="13.5" customHeight="1"/>
    <x:row r="686" ht="13.5" customHeight="1"/>
    <x:row r="687" ht="13.5" customHeight="1"/>
    <x:row r="688" ht="13.5" customHeight="1"/>
    <x:row r="689" ht="13.5" customHeight="1"/>
    <x:row r="690" ht="13.5" customHeight="1"/>
    <x:row r="691" ht="13.5" customHeight="1"/>
    <x:row r="692" ht="13.5" customHeight="1"/>
    <x:row r="693" ht="13.5" customHeight="1"/>
    <x:row r="694" ht="13.5" customHeight="1"/>
    <x:row r="695" ht="13.5" customHeight="1"/>
    <x:row r="696" ht="13.5" customHeight="1"/>
    <x:row r="697" ht="13.5" customHeight="1"/>
    <x:row r="698" ht="13.5" customHeight="1"/>
    <x:row r="699" ht="13.5" customHeight="1"/>
    <x:row r="700" ht="13.5" customHeight="1"/>
    <x:row r="701" ht="13.5" customHeight="1"/>
    <x:row r="702" ht="13.5" customHeight="1"/>
    <x:row r="703" ht="13.5" customHeight="1"/>
    <x:row r="704" ht="13.5" customHeight="1"/>
    <x:row r="705" ht="13.5" customHeight="1"/>
    <x:row r="706" ht="13.5" customHeight="1"/>
    <x:row r="707" ht="13.5" customHeight="1"/>
    <x:row r="708" ht="13.5" customHeight="1"/>
    <x:row r="709" ht="13.5" customHeight="1"/>
    <x:row r="710" ht="13.5" customHeight="1"/>
    <x:row r="711" ht="13.5" customHeight="1"/>
    <x:row r="712" ht="13.5" customHeight="1"/>
    <x:row r="713" ht="13.5" customHeight="1"/>
    <x:row r="714" ht="13.5" customHeight="1"/>
    <x:row r="715" ht="13.5" customHeight="1"/>
    <x:row r="716" ht="13.5" customHeight="1"/>
    <x:row r="717" ht="13.5" customHeight="1"/>
    <x:row r="718" ht="13.5" customHeight="1"/>
    <x:row r="719" ht="13.5" customHeight="1"/>
    <x:row r="720" ht="13.5" customHeight="1"/>
    <x:row r="721" ht="13.5" customHeight="1"/>
    <x:row r="722" ht="13.5" customHeight="1"/>
    <x:row r="723" ht="13.5" customHeight="1"/>
    <x:row r="724" ht="13.5" customHeight="1"/>
    <x:row r="725" ht="13.5" customHeight="1"/>
    <x:row r="726" ht="13.5" customHeight="1"/>
    <x:row r="727" ht="13.5" customHeight="1"/>
    <x:row r="728" ht="13.5" customHeight="1"/>
    <x:row r="729" ht="13.5" customHeight="1"/>
    <x:row r="730" ht="13.5" customHeight="1"/>
    <x:row r="731" ht="13.5" customHeight="1"/>
    <x:row r="732" ht="13.5" customHeight="1"/>
    <x:row r="733" ht="13.5" customHeight="1"/>
    <x:row r="734" ht="13.5" customHeight="1"/>
    <x:row r="735" ht="13.5" customHeight="1"/>
    <x:row r="736" ht="13.5" customHeight="1"/>
    <x:row r="737" ht="13.5" customHeight="1"/>
    <x:row r="738" ht="13.5" customHeight="1"/>
    <x:row r="739" ht="13.5" customHeight="1"/>
    <x:row r="740" ht="13.5" customHeight="1"/>
    <x:row r="741" ht="13.5" customHeight="1"/>
    <x:row r="742" ht="13.5" customHeight="1"/>
    <x:row r="743" ht="13.5" customHeight="1"/>
    <x:row r="744" ht="13.5" customHeight="1"/>
    <x:row r="745" ht="13.5" customHeight="1"/>
    <x:row r="746" ht="13.5" customHeight="1"/>
    <x:row r="747" ht="13.5" customHeight="1"/>
    <x:row r="748" ht="13.5" customHeight="1"/>
    <x:row r="749" ht="13.5" customHeight="1"/>
    <x:row r="750" ht="13.5" customHeight="1"/>
    <x:row r="751" ht="13.5" customHeight="1"/>
    <x:row r="752" ht="13.5" customHeight="1"/>
    <x:row r="753" ht="13.5" customHeight="1"/>
    <x:row r="754" ht="13.5" customHeight="1"/>
    <x:row r="755" ht="13.5" customHeight="1"/>
    <x:row r="756" ht="13.5" customHeight="1"/>
    <x:row r="757" ht="13.5" customHeight="1"/>
    <x:row r="758" ht="13.5" customHeight="1"/>
    <x:row r="759" ht="13.5" customHeight="1"/>
    <x:row r="760" ht="13.5" customHeight="1"/>
    <x:row r="761" ht="13.5" customHeight="1"/>
    <x:row r="762" ht="13.5" customHeight="1"/>
    <x:row r="763" ht="13.5" customHeight="1"/>
    <x:row r="764" ht="13.5" customHeight="1"/>
    <x:row r="765" ht="13.5" customHeight="1"/>
    <x:row r="766" ht="13.5" customHeight="1"/>
    <x:row r="767" ht="13.5" customHeight="1"/>
    <x:row r="768" ht="13.5" customHeight="1"/>
    <x:row r="769" ht="13.5" customHeight="1"/>
    <x:row r="770" ht="13.5" customHeight="1"/>
    <x:row r="771" ht="13.5" customHeight="1"/>
    <x:row r="772" ht="13.5" customHeight="1"/>
    <x:row r="773" ht="13.5" customHeight="1"/>
    <x:row r="774" ht="13.5" customHeight="1"/>
    <x:row r="775" ht="13.5" customHeight="1"/>
    <x:row r="776" ht="13.5" customHeight="1"/>
    <x:row r="777" ht="13.5" customHeight="1"/>
    <x:row r="778" ht="13.5" customHeight="1"/>
    <x:row r="779" ht="13.5" customHeight="1"/>
    <x:row r="780" ht="13.5" customHeight="1"/>
    <x:row r="781" ht="13.5" customHeight="1"/>
    <x:row r="782" ht="13.5" customHeight="1"/>
    <x:row r="783" ht="13.5" customHeight="1"/>
    <x:row r="784" ht="13.5" customHeight="1"/>
    <x:row r="785" ht="13.5" customHeight="1"/>
    <x:row r="786" ht="13.5" customHeight="1"/>
    <x:row r="787" ht="13.5" customHeight="1"/>
    <x:row r="788" ht="13.5" customHeight="1"/>
    <x:row r="789" ht="13.5" customHeight="1"/>
    <x:row r="790" ht="13.5" customHeight="1"/>
    <x:row r="791" ht="13.5" customHeight="1"/>
    <x:row r="792" ht="13.5" customHeight="1"/>
    <x:row r="793" ht="13.5" customHeight="1"/>
    <x:row r="794" ht="13.5" customHeight="1"/>
    <x:row r="795" ht="13.5" customHeight="1"/>
    <x:row r="796" ht="13.5" customHeight="1"/>
    <x:row r="797" ht="13.5" customHeight="1"/>
    <x:row r="798" ht="13.5" customHeight="1"/>
    <x:row r="799" ht="13.5" customHeight="1"/>
    <x:row r="800" ht="13.5" customHeight="1"/>
    <x:row r="801" ht="13.5" customHeight="1"/>
    <x:row r="802" ht="13.5" customHeight="1"/>
    <x:row r="803" ht="13.5" customHeight="1"/>
    <x:row r="804" ht="13.5" customHeight="1"/>
    <x:row r="805" ht="13.5" customHeight="1"/>
    <x:row r="806" ht="13.5" customHeight="1"/>
    <x:row r="807" ht="13.5" customHeight="1"/>
    <x:row r="808" ht="13.5" customHeight="1"/>
    <x:row r="809" ht="13.5" customHeight="1"/>
    <x:row r="810" ht="13.5" customHeight="1"/>
    <x:row r="811" ht="13.5" customHeight="1"/>
    <x:row r="812" ht="13.5" customHeight="1"/>
    <x:row r="813" ht="13.5" customHeight="1"/>
    <x:row r="814" ht="13.5" customHeight="1"/>
    <x:row r="815" ht="13.5" customHeight="1"/>
    <x:row r="816" ht="13.5" customHeight="1"/>
    <x:row r="817" ht="13.5" customHeight="1"/>
    <x:row r="818" ht="13.5" customHeight="1"/>
    <x:row r="819" ht="13.5" customHeight="1"/>
    <x:row r="820" ht="13.5" customHeight="1"/>
    <x:row r="821" ht="13.5" customHeight="1"/>
    <x:row r="822" ht="13.5" customHeight="1"/>
    <x:row r="823" ht="13.5" customHeight="1"/>
    <x:row r="824" ht="13.5" customHeight="1"/>
    <x:row r="825" ht="13.5" customHeight="1"/>
    <x:row r="826" ht="13.5" customHeight="1"/>
    <x:row r="827" ht="13.5" customHeight="1"/>
    <x:row r="828" ht="13.5" customHeight="1"/>
    <x:row r="829" ht="13.5" customHeight="1"/>
    <x:row r="830" ht="13.5" customHeight="1"/>
    <x:row r="831" ht="13.5" customHeight="1"/>
    <x:row r="832" ht="13.5" customHeight="1"/>
    <x:row r="833" ht="13.5" customHeight="1"/>
    <x:row r="834" ht="13.5" customHeight="1"/>
    <x:row r="835" ht="13.5" customHeight="1"/>
    <x:row r="836" ht="13.5" customHeight="1"/>
    <x:row r="837" ht="13.5" customHeight="1"/>
    <x:row r="838" ht="13.5" customHeight="1"/>
    <x:row r="839" ht="13.5" customHeight="1"/>
    <x:row r="840" ht="13.5" customHeight="1"/>
    <x:row r="841" ht="13.5" customHeight="1"/>
    <x:row r="842" ht="13.5" customHeight="1"/>
    <x:row r="843" ht="13.5" customHeight="1"/>
    <x:row r="844" ht="13.5" customHeight="1"/>
    <x:row r="845" ht="13.5" customHeight="1"/>
    <x:row r="846" ht="13.5" customHeight="1"/>
    <x:row r="847" ht="13.5" customHeight="1"/>
    <x:row r="848" ht="13.5" customHeight="1"/>
    <x:row r="849" ht="13.5" customHeight="1"/>
    <x:row r="850" ht="13.5" customHeight="1"/>
    <x:row r="851" ht="13.5" customHeight="1"/>
    <x:row r="852" ht="13.5" customHeight="1"/>
    <x:row r="853" ht="13.5" customHeight="1"/>
    <x:row r="854" ht="13.5" customHeight="1"/>
    <x:row r="855" ht="13.5" customHeight="1"/>
    <x:row r="856" ht="13.5" customHeight="1"/>
    <x:row r="857" ht="13.5" customHeight="1"/>
    <x:row r="858" ht="13.5" customHeight="1"/>
    <x:row r="859" ht="13.5" customHeight="1"/>
    <x:row r="860" ht="13.5" customHeight="1"/>
    <x:row r="861" ht="13.5" customHeight="1"/>
    <x:row r="862" ht="13.5" customHeight="1"/>
    <x:row r="863" ht="13.5" customHeight="1"/>
    <x:row r="864" ht="13.5" customHeight="1"/>
    <x:row r="865" ht="13.5" customHeight="1"/>
    <x:row r="866" ht="13.5" customHeight="1"/>
    <x:row r="867" ht="13.5" customHeight="1"/>
    <x:row r="868" ht="13.5" customHeight="1"/>
    <x:row r="869" ht="13.5" customHeight="1"/>
    <x:row r="870" ht="13.5" customHeight="1"/>
    <x:row r="871" ht="13.5" customHeight="1"/>
    <x:row r="872" ht="13.5" customHeight="1"/>
    <x:row r="873" ht="13.5" customHeight="1"/>
    <x:row r="874" ht="13.5" customHeight="1"/>
    <x:row r="875" ht="13.5" customHeight="1"/>
    <x:row r="876" ht="13.5" customHeight="1"/>
    <x:row r="877" ht="13.5" customHeight="1"/>
    <x:row r="878" ht="13.5" customHeight="1"/>
    <x:row r="879" ht="13.5" customHeight="1"/>
    <x:row r="880" ht="13.5" customHeight="1"/>
    <x:row r="881" ht="13.5" customHeight="1"/>
    <x:row r="882" ht="13.5" customHeight="1"/>
    <x:row r="883" ht="13.5" customHeight="1"/>
    <x:row r="884" ht="13.5" customHeight="1"/>
    <x:row r="885" ht="13.5" customHeight="1"/>
    <x:row r="886" ht="13.5" customHeight="1"/>
    <x:row r="887" ht="13.5" customHeight="1"/>
    <x:row r="888" ht="13.5" customHeight="1"/>
    <x:row r="889" ht="13.5" customHeight="1"/>
    <x:row r="890" ht="13.5" customHeight="1"/>
    <x:row r="891" ht="13.5" customHeight="1"/>
    <x:row r="892" ht="13.5" customHeight="1"/>
    <x:row r="893" ht="13.5" customHeight="1"/>
    <x:row r="894" ht="13.5" customHeight="1"/>
    <x:row r="895" ht="13.5" customHeight="1"/>
    <x:row r="896" ht="13.5" customHeight="1"/>
    <x:row r="897" ht="13.5" customHeight="1"/>
    <x:row r="898" ht="13.5" customHeight="1"/>
    <x:row r="899" ht="13.5" customHeight="1"/>
    <x:row r="900" ht="13.5" customHeight="1"/>
    <x:row r="901" ht="13.5" customHeight="1"/>
    <x:row r="902" ht="13.5" customHeight="1"/>
    <x:row r="903" ht="13.5" customHeight="1"/>
    <x:row r="904" ht="13.5" customHeight="1"/>
    <x:row r="905" ht="13.5" customHeight="1"/>
    <x:row r="906" ht="13.5" customHeight="1"/>
    <x:row r="907" ht="13.5" customHeight="1"/>
    <x:row r="908" ht="13.5" customHeight="1"/>
    <x:row r="909" ht="13.5" customHeight="1"/>
    <x:row r="910" ht="13.5" customHeight="1"/>
    <x:row r="911" ht="13.5" customHeight="1"/>
    <x:row r="912" ht="13.5" customHeight="1"/>
    <x:row r="913" ht="13.5" customHeight="1"/>
    <x:row r="914" ht="13.5" customHeight="1"/>
    <x:row r="915" ht="13.5" customHeight="1"/>
    <x:row r="916" ht="13.5" customHeight="1"/>
    <x:row r="917" ht="13.5" customHeight="1"/>
    <x:row r="918" ht="13.5" customHeight="1"/>
    <x:row r="919" ht="13.5" customHeight="1"/>
    <x:row r="920" ht="13.5" customHeight="1"/>
    <x:row r="921" ht="13.5" customHeight="1"/>
    <x:row r="922" ht="13.5" customHeight="1"/>
    <x:row r="923" ht="13.5" customHeight="1"/>
    <x:row r="924" ht="13.5" customHeight="1"/>
    <x:row r="925" ht="13.5" customHeight="1"/>
    <x:row r="926" ht="13.5" customHeight="1"/>
    <x:row r="927" ht="13.5" customHeight="1"/>
    <x:row r="928" ht="13.5" customHeight="1"/>
    <x:row r="929" ht="13.5" customHeight="1"/>
    <x:row r="930" ht="13.5" customHeight="1"/>
    <x:row r="931" ht="13.5" customHeight="1"/>
    <x:row r="932" ht="13.5" customHeight="1"/>
    <x:row r="933" ht="13.5" customHeight="1"/>
    <x:row r="934" ht="13.5" customHeight="1"/>
    <x:row r="935" ht="13.5" customHeight="1"/>
    <x:row r="936" ht="13.5" customHeight="1"/>
    <x:row r="937" ht="13.5" customHeight="1"/>
    <x:row r="938" ht="13.5" customHeight="1"/>
    <x:row r="939" ht="13.5" customHeight="1"/>
    <x:row r="940" ht="13.5" customHeight="1"/>
    <x:row r="941" ht="13.5" customHeight="1"/>
    <x:row r="942" ht="13.5" customHeight="1"/>
    <x:row r="943" ht="13.5" customHeight="1"/>
    <x:row r="944" ht="13.5" customHeight="1"/>
    <x:row r="945" ht="13.5" customHeight="1"/>
    <x:row r="946" ht="13.5" customHeight="1"/>
    <x:row r="947" ht="13.5" customHeight="1"/>
    <x:row r="948" ht="13.5" customHeight="1"/>
    <x:row r="949" ht="13.5" customHeight="1"/>
    <x:row r="950" ht="13.5" customHeight="1"/>
    <x:row r="951" ht="13.5" customHeight="1"/>
    <x:row r="952" ht="13.5" customHeight="1"/>
    <x:row r="953" ht="13.5" customHeight="1"/>
    <x:row r="954" ht="13.5" customHeight="1"/>
    <x:row r="955" ht="13.5" customHeight="1"/>
    <x:row r="956" ht="13.5" customHeight="1"/>
    <x:row r="957" ht="13.5" customHeight="1"/>
    <x:row r="958" ht="13.5" customHeight="1"/>
    <x:row r="959" ht="13.5" customHeight="1"/>
    <x:row r="960" ht="13.5" customHeight="1"/>
    <x:row r="961" ht="13.5" customHeight="1"/>
    <x:row r="962" ht="13.5" customHeight="1"/>
    <x:row r="963" ht="13.5" customHeight="1"/>
    <x:row r="964" ht="13.5" customHeight="1"/>
    <x:row r="965" ht="13.5" customHeight="1"/>
    <x:row r="966" ht="13.5" customHeight="1"/>
    <x:row r="967" ht="13.5" customHeight="1"/>
    <x:row r="968" ht="13.5" customHeight="1"/>
    <x:row r="969" ht="13.5" customHeight="1"/>
    <x:row r="970" ht="13.5" customHeight="1"/>
    <x:row r="971" ht="13.5" customHeight="1"/>
    <x:row r="972" ht="13.5" customHeight="1"/>
    <x:row r="973" ht="13.5" customHeight="1"/>
    <x:row r="974" ht="13.5" customHeight="1"/>
    <x:row r="975" ht="13.5" customHeight="1"/>
    <x:row r="976" ht="13.5" customHeight="1"/>
    <x:row r="977" ht="13.5" customHeight="1"/>
    <x:row r="978" ht="13.5" customHeight="1"/>
    <x:row r="979" ht="13.5" customHeight="1"/>
    <x:row r="980" ht="13.5" customHeight="1"/>
    <x:row r="981" ht="13.5" customHeight="1"/>
    <x:row r="982" ht="13.5" customHeight="1"/>
    <x:row r="983" ht="13.5" customHeight="1"/>
    <x:row r="984" ht="13.5" customHeight="1"/>
    <x:row r="985" ht="13.5" customHeight="1"/>
    <x:row r="986" ht="13.5" customHeight="1"/>
    <x:row r="987" ht="13.5" customHeight="1"/>
    <x:row r="988" ht="13.5" customHeight="1"/>
    <x:row r="989" ht="13.5" customHeight="1"/>
    <x:row r="990" ht="13.5" customHeight="1"/>
    <x:row r="991" ht="13.5" customHeight="1"/>
    <x:row r="992" ht="13.5" customHeight="1"/>
    <x:row r="993" ht="13.5" customHeight="1"/>
    <x:row r="994" ht="13.5" customHeight="1"/>
    <x:row r="995" ht="13.5" customHeight="1"/>
    <x:row r="996" ht="13.5" customHeight="1"/>
    <x:row r="997" ht="13.5" customHeight="1"/>
    <x:row r="998" ht="13.5" customHeight="1"/>
    <x:row r="999" ht="13.5" customHeight="1"/>
    <x:row r="1000" ht="13.5" customHeight="1"/>
  </x:sheetData>
  <x:mergeCells>
    <x:mergeCell ref="A1:D1"/>
  </x:mergeCells>
  <x:pageMargins left="0.7" right="0.7" top="0.75" bottom="0.75" header="0.3" footer="0.3"/>
</x:worksheet>
</file>